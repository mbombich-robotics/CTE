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ltw-my.sharepoint.com/personal/bmurphy_pltw_org/Documents/Documents/POE/0. POE Updates FY2024/116/"/>
    </mc:Choice>
  </mc:AlternateContent>
  <xr:revisionPtr revIDLastSave="7" documentId="8_{92AC4578-1859-4E73-A1AB-9E0B04A26318}" xr6:coauthVersionLast="47" xr6:coauthVersionMax="47" xr10:uidLastSave="{80CF486B-1F4E-4A1A-A5E6-DBEFE4A5C157}"/>
  <bookViews>
    <workbookView xWindow="28680" yWindow="1050" windowWidth="29040" windowHeight="15990" xr2:uid="{788A9353-C268-4186-80E5-37C620496BBE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2" i="1" l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E11" i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E34" i="1" s="1"/>
  <c r="E35" i="1" s="1"/>
  <c r="E36" i="1" s="1"/>
  <c r="E37" i="1" s="1"/>
  <c r="E38" i="1" s="1"/>
  <c r="E39" i="1" s="1"/>
  <c r="E40" i="1" s="1"/>
  <c r="E41" i="1" s="1"/>
  <c r="E42" i="1" s="1"/>
  <c r="E43" i="1" s="1"/>
  <c r="E44" i="1" s="1"/>
  <c r="E45" i="1" s="1"/>
  <c r="E46" i="1" s="1"/>
  <c r="E47" i="1" s="1"/>
  <c r="E48" i="1" s="1"/>
  <c r="E49" i="1" s="1"/>
  <c r="E50" i="1" s="1"/>
  <c r="E51" i="1" s="1"/>
  <c r="E52" i="1" s="1"/>
  <c r="E53" i="1" s="1"/>
  <c r="E54" i="1" s="1"/>
  <c r="E55" i="1" s="1"/>
  <c r="E56" i="1" s="1"/>
  <c r="E57" i="1" s="1"/>
  <c r="E58" i="1" s="1"/>
  <c r="E59" i="1" s="1"/>
  <c r="E60" i="1" s="1"/>
  <c r="E61" i="1" s="1"/>
  <c r="E62" i="1" s="1"/>
  <c r="E63" i="1" s="1"/>
  <c r="E64" i="1" s="1"/>
  <c r="E65" i="1" s="1"/>
  <c r="E66" i="1" s="1"/>
  <c r="E67" i="1" s="1"/>
  <c r="E68" i="1" s="1"/>
  <c r="E69" i="1" s="1"/>
  <c r="E70" i="1" s="1"/>
  <c r="E71" i="1" s="1"/>
  <c r="E72" i="1" s="1"/>
  <c r="E73" i="1" s="1"/>
  <c r="E74" i="1" s="1"/>
  <c r="E75" i="1" s="1"/>
  <c r="E76" i="1" s="1"/>
  <c r="E77" i="1" s="1"/>
  <c r="E78" i="1" s="1"/>
  <c r="E79" i="1" s="1"/>
  <c r="E80" i="1" s="1"/>
  <c r="E81" i="1" s="1"/>
  <c r="E82" i="1" s="1"/>
  <c r="E83" i="1" s="1"/>
  <c r="E84" i="1" s="1"/>
  <c r="E85" i="1" s="1"/>
  <c r="E86" i="1" s="1"/>
  <c r="E87" i="1" s="1"/>
  <c r="E88" i="1" s="1"/>
  <c r="E89" i="1" s="1"/>
  <c r="E90" i="1" s="1"/>
  <c r="E91" i="1" s="1"/>
  <c r="E92" i="1" s="1"/>
  <c r="E93" i="1" s="1"/>
  <c r="E94" i="1" s="1"/>
  <c r="E95" i="1" s="1"/>
  <c r="E96" i="1" s="1"/>
  <c r="E97" i="1" s="1"/>
  <c r="E98" i="1" s="1"/>
  <c r="E99" i="1" s="1"/>
  <c r="E100" i="1" s="1"/>
  <c r="E101" i="1" s="1"/>
  <c r="E102" i="1" s="1"/>
  <c r="E103" i="1" s="1"/>
  <c r="E104" i="1" s="1"/>
  <c r="E105" i="1" s="1"/>
  <c r="E106" i="1" s="1"/>
  <c r="E107" i="1" s="1"/>
  <c r="E108" i="1" s="1"/>
  <c r="E109" i="1" s="1"/>
  <c r="E110" i="1" s="1"/>
  <c r="E111" i="1" s="1"/>
  <c r="D11" i="1"/>
  <c r="D12" i="1" s="1"/>
  <c r="B11" i="1"/>
  <c r="B12" i="1" s="1"/>
  <c r="C12" i="1" s="1"/>
  <c r="D13" i="1" l="1"/>
  <c r="F12" i="1"/>
  <c r="G12" i="1"/>
  <c r="C11" i="1"/>
  <c r="G11" i="1" s="1"/>
  <c r="F11" i="1"/>
  <c r="B13" i="1"/>
  <c r="B14" i="1" l="1"/>
  <c r="C13" i="1"/>
  <c r="F13" i="1"/>
  <c r="D14" i="1"/>
  <c r="D15" i="1" l="1"/>
  <c r="F14" i="1"/>
  <c r="G13" i="1"/>
  <c r="B15" i="1"/>
  <c r="C14" i="1"/>
  <c r="G14" i="1" s="1"/>
  <c r="C15" i="1" l="1"/>
  <c r="B16" i="1"/>
  <c r="F15" i="1"/>
  <c r="D16" i="1"/>
  <c r="D17" i="1" l="1"/>
  <c r="F16" i="1"/>
  <c r="B17" i="1"/>
  <c r="C16" i="1"/>
  <c r="G16" i="1" s="1"/>
  <c r="G15" i="1"/>
  <c r="C17" i="1" l="1"/>
  <c r="B18" i="1"/>
  <c r="D18" i="1"/>
  <c r="F17" i="1"/>
  <c r="F18" i="1" l="1"/>
  <c r="D19" i="1"/>
  <c r="B19" i="1"/>
  <c r="C18" i="1"/>
  <c r="G18" i="1" s="1"/>
  <c r="G17" i="1"/>
  <c r="C19" i="1" l="1"/>
  <c r="B20" i="1"/>
  <c r="D20" i="1"/>
  <c r="F19" i="1"/>
  <c r="F20" i="1" l="1"/>
  <c r="D21" i="1"/>
  <c r="C20" i="1"/>
  <c r="G20" i="1" s="1"/>
  <c r="B21" i="1"/>
  <c r="G19" i="1"/>
  <c r="B22" i="1" l="1"/>
  <c r="C21" i="1"/>
  <c r="D22" i="1"/>
  <c r="F21" i="1"/>
  <c r="F22" i="1" l="1"/>
  <c r="D23" i="1"/>
  <c r="G21" i="1"/>
  <c r="B23" i="1"/>
  <c r="C22" i="1"/>
  <c r="G22" i="1" s="1"/>
  <c r="B24" i="1" l="1"/>
  <c r="C23" i="1"/>
  <c r="F23" i="1"/>
  <c r="D24" i="1"/>
  <c r="D25" i="1" l="1"/>
  <c r="F24" i="1"/>
  <c r="G23" i="1"/>
  <c r="C24" i="1"/>
  <c r="G24" i="1" s="1"/>
  <c r="B25" i="1"/>
  <c r="B26" i="1" l="1"/>
  <c r="C25" i="1"/>
  <c r="D26" i="1"/>
  <c r="F25" i="1"/>
  <c r="D27" i="1" l="1"/>
  <c r="F26" i="1"/>
  <c r="G25" i="1"/>
  <c r="B27" i="1"/>
  <c r="C26" i="1"/>
  <c r="G26" i="1" s="1"/>
  <c r="C27" i="1" l="1"/>
  <c r="B28" i="1"/>
  <c r="F27" i="1"/>
  <c r="D28" i="1"/>
  <c r="D29" i="1" l="1"/>
  <c r="F28" i="1"/>
  <c r="C28" i="1"/>
  <c r="G28" i="1" s="1"/>
  <c r="B29" i="1"/>
  <c r="G27" i="1"/>
  <c r="C29" i="1" l="1"/>
  <c r="B30" i="1"/>
  <c r="F29" i="1"/>
  <c r="D30" i="1"/>
  <c r="F30" i="1" l="1"/>
  <c r="D31" i="1"/>
  <c r="B31" i="1"/>
  <c r="C30" i="1"/>
  <c r="G30" i="1" s="1"/>
  <c r="G29" i="1"/>
  <c r="C31" i="1" l="1"/>
  <c r="B32" i="1"/>
  <c r="D32" i="1"/>
  <c r="F31" i="1"/>
  <c r="D33" i="1" l="1"/>
  <c r="F32" i="1"/>
  <c r="B33" i="1"/>
  <c r="C32" i="1"/>
  <c r="G32" i="1" s="1"/>
  <c r="G31" i="1"/>
  <c r="B34" i="1" l="1"/>
  <c r="C33" i="1"/>
  <c r="D34" i="1"/>
  <c r="F33" i="1"/>
  <c r="F34" i="1" l="1"/>
  <c r="D35" i="1"/>
  <c r="G33" i="1"/>
  <c r="C34" i="1"/>
  <c r="G34" i="1" s="1"/>
  <c r="B35" i="1"/>
  <c r="B36" i="1" l="1"/>
  <c r="C35" i="1"/>
  <c r="D36" i="1"/>
  <c r="F35" i="1"/>
  <c r="D37" i="1" l="1"/>
  <c r="F36" i="1"/>
  <c r="G35" i="1"/>
  <c r="C36" i="1"/>
  <c r="G36" i="1" s="1"/>
  <c r="B37" i="1"/>
  <c r="B38" i="1" l="1"/>
  <c r="C37" i="1"/>
  <c r="F37" i="1"/>
  <c r="D38" i="1"/>
  <c r="D39" i="1" l="1"/>
  <c r="F38" i="1"/>
  <c r="G37" i="1"/>
  <c r="B39" i="1"/>
  <c r="C38" i="1"/>
  <c r="G38" i="1" s="1"/>
  <c r="C39" i="1" l="1"/>
  <c r="B40" i="1"/>
  <c r="F39" i="1"/>
  <c r="D40" i="1"/>
  <c r="D41" i="1" l="1"/>
  <c r="F40" i="1"/>
  <c r="B41" i="1"/>
  <c r="C40" i="1"/>
  <c r="G40" i="1" s="1"/>
  <c r="G39" i="1"/>
  <c r="C41" i="1" l="1"/>
  <c r="B42" i="1"/>
  <c r="D42" i="1"/>
  <c r="F41" i="1"/>
  <c r="F42" i="1" l="1"/>
  <c r="D43" i="1"/>
  <c r="B43" i="1"/>
  <c r="C42" i="1"/>
  <c r="G42" i="1" s="1"/>
  <c r="G41" i="1"/>
  <c r="C43" i="1" l="1"/>
  <c r="B44" i="1"/>
  <c r="D44" i="1"/>
  <c r="F43" i="1"/>
  <c r="F44" i="1" l="1"/>
  <c r="D45" i="1"/>
  <c r="C44" i="1"/>
  <c r="G44" i="1" s="1"/>
  <c r="B45" i="1"/>
  <c r="G43" i="1"/>
  <c r="B46" i="1" l="1"/>
  <c r="C45" i="1"/>
  <c r="D46" i="1"/>
  <c r="F45" i="1"/>
  <c r="F46" i="1" l="1"/>
  <c r="D47" i="1"/>
  <c r="G45" i="1"/>
  <c r="B47" i="1"/>
  <c r="C46" i="1"/>
  <c r="G46" i="1" s="1"/>
  <c r="B48" i="1" l="1"/>
  <c r="C47" i="1"/>
  <c r="F47" i="1"/>
  <c r="D48" i="1"/>
  <c r="D49" i="1" l="1"/>
  <c r="F48" i="1"/>
  <c r="G47" i="1"/>
  <c r="C48" i="1"/>
  <c r="G48" i="1" s="1"/>
  <c r="B49" i="1"/>
  <c r="B50" i="1" l="1"/>
  <c r="C49" i="1"/>
  <c r="D50" i="1"/>
  <c r="F49" i="1"/>
  <c r="D51" i="1" l="1"/>
  <c r="F50" i="1"/>
  <c r="G49" i="1"/>
  <c r="B51" i="1"/>
  <c r="C50" i="1"/>
  <c r="G50" i="1" s="1"/>
  <c r="C51" i="1" l="1"/>
  <c r="B52" i="1"/>
  <c r="F51" i="1"/>
  <c r="D52" i="1"/>
  <c r="D53" i="1" l="1"/>
  <c r="F52" i="1"/>
  <c r="B53" i="1"/>
  <c r="C52" i="1"/>
  <c r="G52" i="1" s="1"/>
  <c r="G51" i="1"/>
  <c r="C53" i="1" l="1"/>
  <c r="B54" i="1"/>
  <c r="F53" i="1"/>
  <c r="D54" i="1"/>
  <c r="F54" i="1" l="1"/>
  <c r="D55" i="1"/>
  <c r="B55" i="1"/>
  <c r="C54" i="1"/>
  <c r="G54" i="1" s="1"/>
  <c r="G53" i="1"/>
  <c r="B56" i="1" l="1"/>
  <c r="C55" i="1"/>
  <c r="D56" i="1"/>
  <c r="F55" i="1"/>
  <c r="D57" i="1" l="1"/>
  <c r="F56" i="1"/>
  <c r="G55" i="1"/>
  <c r="C56" i="1"/>
  <c r="G56" i="1" s="1"/>
  <c r="B57" i="1"/>
  <c r="B58" i="1" l="1"/>
  <c r="C57" i="1"/>
  <c r="D58" i="1"/>
  <c r="F57" i="1"/>
  <c r="D59" i="1" l="1"/>
  <c r="F58" i="1"/>
  <c r="G57" i="1"/>
  <c r="C58" i="1"/>
  <c r="G58" i="1" s="1"/>
  <c r="B59" i="1"/>
  <c r="B60" i="1" l="1"/>
  <c r="C59" i="1"/>
  <c r="D60" i="1"/>
  <c r="F59" i="1"/>
  <c r="D61" i="1" l="1"/>
  <c r="F60" i="1"/>
  <c r="G59" i="1"/>
  <c r="C60" i="1"/>
  <c r="G60" i="1" s="1"/>
  <c r="B61" i="1"/>
  <c r="C61" i="1" l="1"/>
  <c r="B62" i="1"/>
  <c r="F61" i="1"/>
  <c r="D62" i="1"/>
  <c r="D63" i="1" l="1"/>
  <c r="F62" i="1"/>
  <c r="B63" i="1"/>
  <c r="C62" i="1"/>
  <c r="G62" i="1" s="1"/>
  <c r="G61" i="1"/>
  <c r="C63" i="1" l="1"/>
  <c r="B64" i="1"/>
  <c r="F63" i="1"/>
  <c r="D64" i="1"/>
  <c r="D65" i="1" l="1"/>
  <c r="F64" i="1"/>
  <c r="B65" i="1"/>
  <c r="C64" i="1"/>
  <c r="G64" i="1" s="1"/>
  <c r="G63" i="1"/>
  <c r="C65" i="1" l="1"/>
  <c r="B66" i="1"/>
  <c r="D66" i="1"/>
  <c r="F65" i="1"/>
  <c r="F66" i="1" l="1"/>
  <c r="D67" i="1"/>
  <c r="B67" i="1"/>
  <c r="C66" i="1"/>
  <c r="G66" i="1" s="1"/>
  <c r="G65" i="1"/>
  <c r="C67" i="1" l="1"/>
  <c r="B68" i="1"/>
  <c r="D68" i="1"/>
  <c r="F67" i="1"/>
  <c r="F68" i="1" l="1"/>
  <c r="D69" i="1"/>
  <c r="C68" i="1"/>
  <c r="G68" i="1" s="1"/>
  <c r="B69" i="1"/>
  <c r="G67" i="1"/>
  <c r="B70" i="1" l="1"/>
  <c r="C69" i="1"/>
  <c r="D70" i="1"/>
  <c r="F69" i="1"/>
  <c r="G69" i="1" l="1"/>
  <c r="F70" i="1"/>
  <c r="D71" i="1"/>
  <c r="B71" i="1"/>
  <c r="C70" i="1"/>
  <c r="G70" i="1" s="1"/>
  <c r="B72" i="1" l="1"/>
  <c r="C71" i="1"/>
  <c r="F71" i="1"/>
  <c r="D72" i="1"/>
  <c r="D73" i="1" l="1"/>
  <c r="F72" i="1"/>
  <c r="G71" i="1"/>
  <c r="B73" i="1"/>
  <c r="C72" i="1"/>
  <c r="G72" i="1" s="1"/>
  <c r="B74" i="1" l="1"/>
  <c r="C73" i="1"/>
  <c r="D74" i="1"/>
  <c r="F73" i="1"/>
  <c r="D75" i="1" l="1"/>
  <c r="F74" i="1"/>
  <c r="G73" i="1"/>
  <c r="B75" i="1"/>
  <c r="C74" i="1"/>
  <c r="G74" i="1" s="1"/>
  <c r="C75" i="1" l="1"/>
  <c r="B76" i="1"/>
  <c r="F75" i="1"/>
  <c r="D76" i="1"/>
  <c r="D77" i="1" l="1"/>
  <c r="F76" i="1"/>
  <c r="B77" i="1"/>
  <c r="C76" i="1"/>
  <c r="G76" i="1" s="1"/>
  <c r="G75" i="1"/>
  <c r="C77" i="1" l="1"/>
  <c r="B78" i="1"/>
  <c r="F77" i="1"/>
  <c r="D78" i="1"/>
  <c r="B79" i="1" l="1"/>
  <c r="C78" i="1"/>
  <c r="F78" i="1"/>
  <c r="D79" i="1"/>
  <c r="G77" i="1"/>
  <c r="D80" i="1" l="1"/>
  <c r="F79" i="1"/>
  <c r="G78" i="1"/>
  <c r="B80" i="1"/>
  <c r="C79" i="1"/>
  <c r="G79" i="1" s="1"/>
  <c r="C80" i="1" l="1"/>
  <c r="B81" i="1"/>
  <c r="F80" i="1"/>
  <c r="D81" i="1"/>
  <c r="D82" i="1" l="1"/>
  <c r="F81" i="1"/>
  <c r="B82" i="1"/>
  <c r="C81" i="1"/>
  <c r="G81" i="1" s="1"/>
  <c r="G80" i="1"/>
  <c r="C82" i="1" l="1"/>
  <c r="B83" i="1"/>
  <c r="D83" i="1"/>
  <c r="F82" i="1"/>
  <c r="D84" i="1" l="1"/>
  <c r="F83" i="1"/>
  <c r="B84" i="1"/>
  <c r="C83" i="1"/>
  <c r="G83" i="1" s="1"/>
  <c r="G82" i="1"/>
  <c r="C84" i="1" l="1"/>
  <c r="B85" i="1"/>
  <c r="D85" i="1"/>
  <c r="F84" i="1"/>
  <c r="F85" i="1" l="1"/>
  <c r="D86" i="1"/>
  <c r="C85" i="1"/>
  <c r="G85" i="1" s="1"/>
  <c r="B86" i="1"/>
  <c r="G84" i="1"/>
  <c r="B87" i="1" l="1"/>
  <c r="C86" i="1"/>
  <c r="D87" i="1"/>
  <c r="F86" i="1"/>
  <c r="F87" i="1" l="1"/>
  <c r="D88" i="1"/>
  <c r="G86" i="1"/>
  <c r="C87" i="1"/>
  <c r="G87" i="1" s="1"/>
  <c r="B88" i="1"/>
  <c r="B89" i="1" l="1"/>
  <c r="C88" i="1"/>
  <c r="D89" i="1"/>
  <c r="F88" i="1"/>
  <c r="D90" i="1" l="1"/>
  <c r="F89" i="1"/>
  <c r="G88" i="1"/>
  <c r="C89" i="1"/>
  <c r="G89" i="1" s="1"/>
  <c r="B90" i="1"/>
  <c r="B91" i="1" l="1"/>
  <c r="C90" i="1"/>
  <c r="F90" i="1"/>
  <c r="D91" i="1"/>
  <c r="D92" i="1" l="1"/>
  <c r="F91" i="1"/>
  <c r="G90" i="1"/>
  <c r="C91" i="1"/>
  <c r="G91" i="1" s="1"/>
  <c r="B92" i="1"/>
  <c r="B93" i="1" l="1"/>
  <c r="C92" i="1"/>
  <c r="F92" i="1"/>
  <c r="D93" i="1"/>
  <c r="D94" i="1" l="1"/>
  <c r="F93" i="1"/>
  <c r="G92" i="1"/>
  <c r="B94" i="1"/>
  <c r="C93" i="1"/>
  <c r="G93" i="1" s="1"/>
  <c r="C94" i="1" l="1"/>
  <c r="B95" i="1"/>
  <c r="F94" i="1"/>
  <c r="D95" i="1"/>
  <c r="F95" i="1" l="1"/>
  <c r="D96" i="1"/>
  <c r="B96" i="1"/>
  <c r="C95" i="1"/>
  <c r="G95" i="1" s="1"/>
  <c r="G94" i="1"/>
  <c r="B97" i="1" l="1"/>
  <c r="C96" i="1"/>
  <c r="D97" i="1"/>
  <c r="F96" i="1"/>
  <c r="D98" i="1" l="1"/>
  <c r="F97" i="1"/>
  <c r="G96" i="1"/>
  <c r="B98" i="1"/>
  <c r="C97" i="1"/>
  <c r="G97" i="1" s="1"/>
  <c r="B99" i="1" l="1"/>
  <c r="C98" i="1"/>
  <c r="D99" i="1"/>
  <c r="F98" i="1"/>
  <c r="F99" i="1" l="1"/>
  <c r="D100" i="1"/>
  <c r="G98" i="1"/>
  <c r="C99" i="1"/>
  <c r="G99" i="1" s="1"/>
  <c r="B100" i="1"/>
  <c r="B101" i="1" l="1"/>
  <c r="C100" i="1"/>
  <c r="D101" i="1"/>
  <c r="F100" i="1"/>
  <c r="D102" i="1" l="1"/>
  <c r="F101" i="1"/>
  <c r="G100" i="1"/>
  <c r="C101" i="1"/>
  <c r="G101" i="1" s="1"/>
  <c r="B102" i="1"/>
  <c r="B103" i="1" l="1"/>
  <c r="C102" i="1"/>
  <c r="D103" i="1"/>
  <c r="F102" i="1"/>
  <c r="D104" i="1" l="1"/>
  <c r="F103" i="1"/>
  <c r="G102" i="1"/>
  <c r="B104" i="1"/>
  <c r="C103" i="1"/>
  <c r="G103" i="1" s="1"/>
  <c r="C104" i="1" l="1"/>
  <c r="B105" i="1"/>
  <c r="F104" i="1"/>
  <c r="D105" i="1"/>
  <c r="D106" i="1" l="1"/>
  <c r="F105" i="1"/>
  <c r="B106" i="1"/>
  <c r="C105" i="1"/>
  <c r="G105" i="1" s="1"/>
  <c r="G104" i="1"/>
  <c r="D107" i="1" l="1"/>
  <c r="F106" i="1"/>
  <c r="C106" i="1"/>
  <c r="G106" i="1" s="1"/>
  <c r="B107" i="1"/>
  <c r="B108" i="1" l="1"/>
  <c r="C107" i="1"/>
  <c r="D108" i="1"/>
  <c r="F107" i="1"/>
  <c r="D109" i="1" l="1"/>
  <c r="F108" i="1"/>
  <c r="G107" i="1"/>
  <c r="C108" i="1"/>
  <c r="G108" i="1" s="1"/>
  <c r="B109" i="1"/>
  <c r="B110" i="1" l="1"/>
  <c r="C109" i="1"/>
  <c r="D110" i="1"/>
  <c r="F109" i="1"/>
  <c r="D111" i="1" l="1"/>
  <c r="F111" i="1" s="1"/>
  <c r="F110" i="1"/>
  <c r="G109" i="1"/>
  <c r="B111" i="1"/>
  <c r="C111" i="1" s="1"/>
  <c r="G111" i="1" s="1"/>
  <c r="C110" i="1"/>
  <c r="G110" i="1" s="1"/>
</calcChain>
</file>

<file path=xl/sharedStrings.xml><?xml version="1.0" encoding="utf-8"?>
<sst xmlns="http://schemas.openxmlformats.org/spreadsheetml/2006/main" count="14" uniqueCount="14">
  <si>
    <t>Activity 1.1.6 Maximizing Motor Power – VEX V5</t>
  </si>
  <si>
    <t>Note: This spreadsheet will produce four meaningful curves from the five highlighted measurements.</t>
  </si>
  <si>
    <t xml:space="preserve"> = V = Voltage (V)</t>
  </si>
  <si>
    <t xml:space="preserve"> = I_free = No-load current (A)</t>
  </si>
  <si>
    <t xml:space="preserve"> = I_stall = Stall current (A)</t>
  </si>
  <si>
    <t xml:space="preserve"> = omega_no-load = No-load Speed (rad/s)</t>
  </si>
  <si>
    <t xml:space="preserve"> = tau_stall = Stall torque (Nm)</t>
  </si>
  <si>
    <t>Torque</t>
  </si>
  <si>
    <t>Speed</t>
  </si>
  <si>
    <t>Power out</t>
  </si>
  <si>
    <t>Voltage</t>
  </si>
  <si>
    <t>Current</t>
  </si>
  <si>
    <t>Power in</t>
  </si>
  <si>
    <t>% Efficiency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</si>
</sst>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.0_);_(* \(#,##0.0\);_(* &quot;-&quot;??_);_(@_)"/>
    <numFmt numFmtId="165" formatCode="_(* #,##0.000_);_(* \(#,##0.000\);_(* &quot;-&quot;??_);_(@_)"/>
    <numFmt numFmtId="166" formatCode="_(* #,##0.0000_);_(* \(#,##0.0000\);_(* &quot;-&quot;??_);_(@_)"/>
  </numFmts>
  <fonts count="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2">
    <xf numFmtId="0" fontId="0" fillId="0" borderId="0" xfId="0"/>
    <xf numFmtId="0" fontId="3" fillId="0" borderId="0" xfId="0" applyFont="1"/>
    <xf numFmtId="164" fontId="0" fillId="0" borderId="0" xfId="1" applyNumberFormat="1" applyFont="1" applyAlignment="1">
      <alignment horizontal="center"/>
    </xf>
    <xf numFmtId="43" fontId="0" fillId="0" borderId="0" xfId="1" applyFont="1" applyAlignment="1">
      <alignment horizontal="center"/>
    </xf>
    <xf numFmtId="165" fontId="0" fillId="0" borderId="0" xfId="1" applyNumberFormat="1" applyFont="1" applyAlignment="1">
      <alignment horizontal="center"/>
    </xf>
    <xf numFmtId="39" fontId="0" fillId="0" borderId="0" xfId="1" applyNumberFormat="1" applyFont="1" applyAlignment="1">
      <alignment horizontal="center"/>
    </xf>
    <xf numFmtId="43" fontId="0" fillId="0" borderId="0" xfId="1" applyFont="1"/>
    <xf numFmtId="166" fontId="2" fillId="0" borderId="0" xfId="1" applyNumberFormat="1" applyFont="1" applyAlignment="1">
      <alignment horizontal="left"/>
    </xf>
    <xf numFmtId="166" fontId="0" fillId="0" borderId="0" xfId="1" applyNumberFormat="1" applyFont="1" applyAlignment="1">
      <alignment horizontal="center"/>
    </xf>
    <xf numFmtId="43" fontId="0" fillId="2" borderId="1" xfId="1" applyFont="1" applyFill="1" applyBorder="1" applyAlignment="1" applyProtection="1">
      <alignment horizontal="center"/>
      <protection locked="0"/>
    </xf>
    <xf numFmtId="166" fontId="0" fillId="0" borderId="0" xfId="1" applyNumberFormat="1" applyFont="1" applyAlignment="1">
      <alignment horizontal="left"/>
    </xf>
    <xf numFmtId="165" fontId="0" fillId="2" borderId="1" xfId="1" applyNumberFormat="1" applyFont="1" applyFill="1" applyBorder="1" applyAlignment="1" applyProtection="1">
      <alignment horizontal="center"/>
      <protection locked="0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Motor Efficiency and Output Power </a:t>
            </a:r>
          </a:p>
          <a:p>
            <a:pPr>
              <a:defRPr/>
            </a:pPr>
            <a:r>
              <a:rPr lang="en-US"/>
              <a:t>vs. Torque (Constant Voltage)</a:t>
            </a:r>
          </a:p>
        </c:rich>
      </c:tx>
      <c:layout>
        <c:manualLayout>
          <c:xMode val="edge"/>
          <c:yMode val="edge"/>
          <c:x val="0.11623622047244095"/>
          <c:y val="4.6296296296296294E-2"/>
        </c:manualLayout>
      </c:layout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Sheet1!$G$10</c:f>
              <c:strCache>
                <c:ptCount val="1"/>
                <c:pt idx="0">
                  <c:v>% Efficiency</c:v>
                </c:pt>
              </c:strCache>
            </c:strRef>
          </c:tx>
          <c:marker>
            <c:symbol val="diamond"/>
            <c:size val="4"/>
          </c:marker>
          <c:xVal>
            <c:numRef>
              <c:f>Sheet1!$A$11:$A$111</c:f>
              <c:numCache>
                <c:formatCode>_(* #,##0.0000_);_(* \(#,##0.0000\);_(* "-"??_);_(@_)</c:formatCode>
                <c:ptCount val="101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0.06</c:v>
                </c:pt>
                <c:pt idx="4">
                  <c:v>0.08</c:v>
                </c:pt>
                <c:pt idx="5">
                  <c:v>0.1</c:v>
                </c:pt>
                <c:pt idx="6">
                  <c:v>0.12000000000000001</c:v>
                </c:pt>
                <c:pt idx="7">
                  <c:v>0.14000000000000001</c:v>
                </c:pt>
                <c:pt idx="8">
                  <c:v>0.16</c:v>
                </c:pt>
                <c:pt idx="9">
                  <c:v>0.18</c:v>
                </c:pt>
                <c:pt idx="10">
                  <c:v>0.19999999999999998</c:v>
                </c:pt>
                <c:pt idx="11">
                  <c:v>0.21999999999999997</c:v>
                </c:pt>
                <c:pt idx="12">
                  <c:v>0.23999999999999996</c:v>
                </c:pt>
                <c:pt idx="13">
                  <c:v>0.25999999999999995</c:v>
                </c:pt>
                <c:pt idx="14">
                  <c:v>0.27999999999999997</c:v>
                </c:pt>
                <c:pt idx="15">
                  <c:v>0.3</c:v>
                </c:pt>
                <c:pt idx="16">
                  <c:v>0.32</c:v>
                </c:pt>
                <c:pt idx="17">
                  <c:v>0.34</c:v>
                </c:pt>
                <c:pt idx="18">
                  <c:v>0.36000000000000004</c:v>
                </c:pt>
                <c:pt idx="19">
                  <c:v>0.38000000000000006</c:v>
                </c:pt>
                <c:pt idx="20">
                  <c:v>0.40000000000000008</c:v>
                </c:pt>
                <c:pt idx="21">
                  <c:v>0.4200000000000001</c:v>
                </c:pt>
                <c:pt idx="22">
                  <c:v>0.44000000000000011</c:v>
                </c:pt>
                <c:pt idx="23">
                  <c:v>0.46000000000000013</c:v>
                </c:pt>
                <c:pt idx="24">
                  <c:v>0.48000000000000015</c:v>
                </c:pt>
                <c:pt idx="25">
                  <c:v>0.50000000000000011</c:v>
                </c:pt>
                <c:pt idx="26">
                  <c:v>0.52000000000000013</c:v>
                </c:pt>
                <c:pt idx="27">
                  <c:v>0.54000000000000015</c:v>
                </c:pt>
                <c:pt idx="28">
                  <c:v>0.56000000000000016</c:v>
                </c:pt>
                <c:pt idx="29">
                  <c:v>0.58000000000000018</c:v>
                </c:pt>
                <c:pt idx="30">
                  <c:v>0.6000000000000002</c:v>
                </c:pt>
                <c:pt idx="31">
                  <c:v>0.62000000000000022</c:v>
                </c:pt>
                <c:pt idx="32">
                  <c:v>0.64000000000000024</c:v>
                </c:pt>
                <c:pt idx="33">
                  <c:v>0.66000000000000025</c:v>
                </c:pt>
                <c:pt idx="34">
                  <c:v>0.68000000000000027</c:v>
                </c:pt>
                <c:pt idx="35">
                  <c:v>0.70000000000000029</c:v>
                </c:pt>
                <c:pt idx="36">
                  <c:v>0.72000000000000031</c:v>
                </c:pt>
                <c:pt idx="37">
                  <c:v>0.74000000000000032</c:v>
                </c:pt>
                <c:pt idx="38">
                  <c:v>0.76000000000000034</c:v>
                </c:pt>
                <c:pt idx="39">
                  <c:v>0.78000000000000036</c:v>
                </c:pt>
                <c:pt idx="40">
                  <c:v>0.80000000000000038</c:v>
                </c:pt>
                <c:pt idx="41">
                  <c:v>0.8200000000000004</c:v>
                </c:pt>
                <c:pt idx="42">
                  <c:v>0.84000000000000041</c:v>
                </c:pt>
                <c:pt idx="43">
                  <c:v>0.86000000000000043</c:v>
                </c:pt>
                <c:pt idx="44">
                  <c:v>0.88000000000000045</c:v>
                </c:pt>
                <c:pt idx="45">
                  <c:v>0.90000000000000047</c:v>
                </c:pt>
                <c:pt idx="46">
                  <c:v>0.92000000000000048</c:v>
                </c:pt>
                <c:pt idx="47">
                  <c:v>0.9400000000000005</c:v>
                </c:pt>
                <c:pt idx="48">
                  <c:v>0.96000000000000052</c:v>
                </c:pt>
                <c:pt idx="49">
                  <c:v>0.98000000000000054</c:v>
                </c:pt>
                <c:pt idx="50">
                  <c:v>1.0000000000000004</c:v>
                </c:pt>
                <c:pt idx="51">
                  <c:v>1.0200000000000005</c:v>
                </c:pt>
                <c:pt idx="52">
                  <c:v>1.0400000000000005</c:v>
                </c:pt>
                <c:pt idx="53">
                  <c:v>1.0600000000000005</c:v>
                </c:pt>
                <c:pt idx="54">
                  <c:v>1.0800000000000005</c:v>
                </c:pt>
                <c:pt idx="55">
                  <c:v>1.1000000000000005</c:v>
                </c:pt>
                <c:pt idx="56">
                  <c:v>1.1200000000000006</c:v>
                </c:pt>
                <c:pt idx="57">
                  <c:v>1.1400000000000006</c:v>
                </c:pt>
                <c:pt idx="58">
                  <c:v>1.1600000000000006</c:v>
                </c:pt>
                <c:pt idx="59">
                  <c:v>1.1800000000000006</c:v>
                </c:pt>
                <c:pt idx="60">
                  <c:v>1.2000000000000006</c:v>
                </c:pt>
                <c:pt idx="61">
                  <c:v>1.2200000000000006</c:v>
                </c:pt>
                <c:pt idx="62">
                  <c:v>1.2400000000000007</c:v>
                </c:pt>
                <c:pt idx="63">
                  <c:v>1.2600000000000007</c:v>
                </c:pt>
                <c:pt idx="64">
                  <c:v>1.2800000000000007</c:v>
                </c:pt>
                <c:pt idx="65">
                  <c:v>1.3000000000000007</c:v>
                </c:pt>
                <c:pt idx="66">
                  <c:v>1.3200000000000007</c:v>
                </c:pt>
                <c:pt idx="67">
                  <c:v>1.3400000000000007</c:v>
                </c:pt>
                <c:pt idx="68">
                  <c:v>1.3600000000000008</c:v>
                </c:pt>
                <c:pt idx="69">
                  <c:v>1.3800000000000008</c:v>
                </c:pt>
                <c:pt idx="70">
                  <c:v>1.4000000000000008</c:v>
                </c:pt>
                <c:pt idx="71">
                  <c:v>1.4200000000000008</c:v>
                </c:pt>
                <c:pt idx="72">
                  <c:v>1.4400000000000008</c:v>
                </c:pt>
                <c:pt idx="73">
                  <c:v>1.4600000000000009</c:v>
                </c:pt>
                <c:pt idx="74">
                  <c:v>1.4800000000000009</c:v>
                </c:pt>
                <c:pt idx="75">
                  <c:v>1.5000000000000009</c:v>
                </c:pt>
                <c:pt idx="76">
                  <c:v>1.5200000000000009</c:v>
                </c:pt>
                <c:pt idx="77">
                  <c:v>1.5400000000000009</c:v>
                </c:pt>
                <c:pt idx="78">
                  <c:v>1.5600000000000009</c:v>
                </c:pt>
                <c:pt idx="79">
                  <c:v>1.580000000000001</c:v>
                </c:pt>
                <c:pt idx="80">
                  <c:v>1.600000000000001</c:v>
                </c:pt>
                <c:pt idx="81">
                  <c:v>1.620000000000001</c:v>
                </c:pt>
                <c:pt idx="82">
                  <c:v>1.640000000000001</c:v>
                </c:pt>
                <c:pt idx="83">
                  <c:v>1.660000000000001</c:v>
                </c:pt>
                <c:pt idx="84">
                  <c:v>1.680000000000001</c:v>
                </c:pt>
                <c:pt idx="85">
                  <c:v>1.7000000000000011</c:v>
                </c:pt>
                <c:pt idx="86">
                  <c:v>1.7200000000000011</c:v>
                </c:pt>
                <c:pt idx="87">
                  <c:v>1.7400000000000011</c:v>
                </c:pt>
                <c:pt idx="88">
                  <c:v>1.7600000000000011</c:v>
                </c:pt>
                <c:pt idx="89">
                  <c:v>1.7800000000000011</c:v>
                </c:pt>
                <c:pt idx="90">
                  <c:v>1.8000000000000012</c:v>
                </c:pt>
                <c:pt idx="91">
                  <c:v>1.8200000000000012</c:v>
                </c:pt>
                <c:pt idx="92">
                  <c:v>1.8400000000000012</c:v>
                </c:pt>
                <c:pt idx="93">
                  <c:v>1.8600000000000012</c:v>
                </c:pt>
                <c:pt idx="94">
                  <c:v>1.8800000000000012</c:v>
                </c:pt>
                <c:pt idx="95">
                  <c:v>1.9000000000000012</c:v>
                </c:pt>
                <c:pt idx="96">
                  <c:v>1.9200000000000013</c:v>
                </c:pt>
                <c:pt idx="97">
                  <c:v>1.9400000000000013</c:v>
                </c:pt>
                <c:pt idx="98">
                  <c:v>1.9600000000000013</c:v>
                </c:pt>
                <c:pt idx="99">
                  <c:v>1.9800000000000013</c:v>
                </c:pt>
                <c:pt idx="100">
                  <c:v>2.0000000000000013</c:v>
                </c:pt>
              </c:numCache>
            </c:numRef>
          </c:xVal>
          <c:yVal>
            <c:numRef>
              <c:f>Sheet1!$G$11:$G$111</c:f>
              <c:numCache>
                <c:formatCode>#,##0.00_);\(#,##0.00\)</c:formatCode>
                <c:ptCount val="101"/>
                <c:pt idx="0">
                  <c:v>0</c:v>
                </c:pt>
                <c:pt idx="1">
                  <c:v>3.9402985074626877</c:v>
                </c:pt>
                <c:pt idx="2">
                  <c:v>7.7623762376237639</c:v>
                </c:pt>
                <c:pt idx="3">
                  <c:v>11.467980295566505</c:v>
                </c:pt>
                <c:pt idx="4">
                  <c:v>15.058823529411768</c:v>
                </c:pt>
                <c:pt idx="5">
                  <c:v>18.536585365853668</c:v>
                </c:pt>
                <c:pt idx="6">
                  <c:v>21.902912621359235</c:v>
                </c:pt>
                <c:pt idx="7">
                  <c:v>25.159420289855095</c:v>
                </c:pt>
                <c:pt idx="8">
                  <c:v>28.307692307692328</c:v>
                </c:pt>
                <c:pt idx="9">
                  <c:v>31.349282296650742</c:v>
                </c:pt>
                <c:pt idx="10">
                  <c:v>34.285714285714313</c:v>
                </c:pt>
                <c:pt idx="11">
                  <c:v>37.118483412322306</c:v>
                </c:pt>
                <c:pt idx="12">
                  <c:v>39.849056603773626</c:v>
                </c:pt>
                <c:pt idx="13">
                  <c:v>42.478873239436659</c:v>
                </c:pt>
                <c:pt idx="14">
                  <c:v>45.009345794392573</c:v>
                </c:pt>
                <c:pt idx="15">
                  <c:v>47.441860465116342</c:v>
                </c:pt>
                <c:pt idx="16">
                  <c:v>49.777777777777857</c:v>
                </c:pt>
                <c:pt idx="17">
                  <c:v>52.01843317972358</c:v>
                </c:pt>
                <c:pt idx="18">
                  <c:v>54.165137614678983</c:v>
                </c:pt>
                <c:pt idx="19">
                  <c:v>56.219178082191881</c:v>
                </c:pt>
                <c:pt idx="20">
                  <c:v>58.181818181818301</c:v>
                </c:pt>
                <c:pt idx="21">
                  <c:v>60.054298642534057</c:v>
                </c:pt>
                <c:pt idx="22">
                  <c:v>61.837837837837974</c:v>
                </c:pt>
                <c:pt idx="23">
                  <c:v>63.533632286995655</c:v>
                </c:pt>
                <c:pt idx="24">
                  <c:v>65.142857142857295</c:v>
                </c:pt>
                <c:pt idx="25">
                  <c:v>66.666666666666828</c:v>
                </c:pt>
                <c:pt idx="26">
                  <c:v>68.106194690265653</c:v>
                </c:pt>
                <c:pt idx="27">
                  <c:v>69.462555066079474</c:v>
                </c:pt>
                <c:pt idx="28">
                  <c:v>70.736842105263349</c:v>
                </c:pt>
                <c:pt idx="29">
                  <c:v>71.930131004366999</c:v>
                </c:pt>
                <c:pt idx="30">
                  <c:v>73.043478260869762</c:v>
                </c:pt>
                <c:pt idx="31">
                  <c:v>74.077922077922281</c:v>
                </c:pt>
                <c:pt idx="32">
                  <c:v>75.034482758620896</c:v>
                </c:pt>
                <c:pt idx="33">
                  <c:v>75.91416309012898</c:v>
                </c:pt>
                <c:pt idx="34">
                  <c:v>76.717948717948943</c:v>
                </c:pt>
                <c:pt idx="35">
                  <c:v>77.446808510638533</c:v>
                </c:pt>
                <c:pt idx="36">
                  <c:v>78.101694915254498</c:v>
                </c:pt>
                <c:pt idx="37">
                  <c:v>78.683544303797731</c:v>
                </c:pt>
                <c:pt idx="38">
                  <c:v>79.193277310924628</c:v>
                </c:pt>
                <c:pt idx="39">
                  <c:v>79.63179916318019</c:v>
                </c:pt>
                <c:pt idx="40">
                  <c:v>80.00000000000027</c:v>
                </c:pt>
                <c:pt idx="41">
                  <c:v>80.298755186722275</c:v>
                </c:pt>
                <c:pt idx="42">
                  <c:v>80.528925619834993</c:v>
                </c:pt>
                <c:pt idx="43">
                  <c:v>80.691358024691652</c:v>
                </c:pt>
                <c:pt idx="44">
                  <c:v>80.786885245901928</c:v>
                </c:pt>
                <c:pt idx="45">
                  <c:v>80.816326530612542</c:v>
                </c:pt>
                <c:pt idx="46">
                  <c:v>80.780487804878348</c:v>
                </c:pt>
                <c:pt idx="47">
                  <c:v>80.680161943320144</c:v>
                </c:pt>
                <c:pt idx="48">
                  <c:v>80.516129032258377</c:v>
                </c:pt>
                <c:pt idx="49">
                  <c:v>80.28915662650634</c:v>
                </c:pt>
                <c:pt idx="50">
                  <c:v>80.000000000000298</c:v>
                </c:pt>
                <c:pt idx="51">
                  <c:v>79.649402390438553</c:v>
                </c:pt>
                <c:pt idx="52">
                  <c:v>79.238095238095553</c:v>
                </c:pt>
                <c:pt idx="53">
                  <c:v>78.766798418972655</c:v>
                </c:pt>
                <c:pt idx="54">
                  <c:v>78.236220472441261</c:v>
                </c:pt>
                <c:pt idx="55">
                  <c:v>77.647058823529719</c:v>
                </c:pt>
                <c:pt idx="56">
                  <c:v>77.000000000000313</c:v>
                </c:pt>
                <c:pt idx="57">
                  <c:v>76.295719844358288</c:v>
                </c:pt>
                <c:pt idx="58">
                  <c:v>75.534883720930537</c:v>
                </c:pt>
                <c:pt idx="59">
                  <c:v>74.718146718147025</c:v>
                </c:pt>
                <c:pt idx="60">
                  <c:v>73.846153846154152</c:v>
                </c:pt>
                <c:pt idx="61">
                  <c:v>72.919540229885357</c:v>
                </c:pt>
                <c:pt idx="62">
                  <c:v>71.938931297710212</c:v>
                </c:pt>
                <c:pt idx="63">
                  <c:v>70.904942965779753</c:v>
                </c:pt>
                <c:pt idx="64">
                  <c:v>69.818181818182111</c:v>
                </c:pt>
                <c:pt idx="65">
                  <c:v>68.679245283019156</c:v>
                </c:pt>
                <c:pt idx="66">
                  <c:v>67.488721804511556</c:v>
                </c:pt>
                <c:pt idx="67">
                  <c:v>66.247191011236225</c:v>
                </c:pt>
                <c:pt idx="68">
                  <c:v>64.955223880597273</c:v>
                </c:pt>
                <c:pt idx="69">
                  <c:v>63.613382899628512</c:v>
                </c:pt>
                <c:pt idx="70">
                  <c:v>62.222222222222477</c:v>
                </c:pt>
                <c:pt idx="71">
                  <c:v>60.782287822878466</c:v>
                </c:pt>
                <c:pt idx="72">
                  <c:v>59.294117647059061</c:v>
                </c:pt>
                <c:pt idx="73">
                  <c:v>57.758241758241979</c:v>
                </c:pt>
                <c:pt idx="74">
                  <c:v>56.175182481752039</c:v>
                </c:pt>
                <c:pt idx="75">
                  <c:v>54.545454545454753</c:v>
                </c:pt>
                <c:pt idx="76">
                  <c:v>52.869565217391504</c:v>
                </c:pt>
                <c:pt idx="77">
                  <c:v>51.1480144404334</c:v>
                </c:pt>
                <c:pt idx="78">
                  <c:v>49.381294964028946</c:v>
                </c:pt>
                <c:pt idx="79">
                  <c:v>47.569892473118436</c:v>
                </c:pt>
                <c:pt idx="80">
                  <c:v>45.714285714285857</c:v>
                </c:pt>
                <c:pt idx="81">
                  <c:v>43.81494661921721</c:v>
                </c:pt>
                <c:pt idx="82">
                  <c:v>41.87234042553203</c:v>
                </c:pt>
                <c:pt idx="83">
                  <c:v>39.886925795053102</c:v>
                </c:pt>
                <c:pt idx="84">
                  <c:v>37.859154929577556</c:v>
                </c:pt>
                <c:pt idx="85">
                  <c:v>35.789473684210598</c:v>
                </c:pt>
                <c:pt idx="86">
                  <c:v>33.67832167832173</c:v>
                </c:pt>
                <c:pt idx="87">
                  <c:v>31.526132404181219</c:v>
                </c:pt>
                <c:pt idx="88">
                  <c:v>29.333333333333357</c:v>
                </c:pt>
                <c:pt idx="89">
                  <c:v>27.100346020761258</c:v>
                </c:pt>
                <c:pt idx="90">
                  <c:v>24.827586206896544</c:v>
                </c:pt>
                <c:pt idx="91">
                  <c:v>22.51546391752575</c:v>
                </c:pt>
                <c:pt idx="92">
                  <c:v>20.164383561643795</c:v>
                </c:pt>
                <c:pt idx="93">
                  <c:v>17.774744027303697</c:v>
                </c:pt>
                <c:pt idx="94">
                  <c:v>15.346938775510131</c:v>
                </c:pt>
                <c:pt idx="95">
                  <c:v>12.881355932203295</c:v>
                </c:pt>
                <c:pt idx="96">
                  <c:v>10.378378378378263</c:v>
                </c:pt>
                <c:pt idx="97">
                  <c:v>7.8383838383837015</c:v>
                </c:pt>
                <c:pt idx="98">
                  <c:v>5.2617449664427953</c:v>
                </c:pt>
                <c:pt idx="99">
                  <c:v>2.6488294314379481</c:v>
                </c:pt>
                <c:pt idx="100">
                  <c:v>-2.0076533028638403E-13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EF9-4EF9-8D43-0DFB1BCD88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069632"/>
        <c:axId val="52428800"/>
      </c:scatterChart>
      <c:scatterChart>
        <c:scatterStyle val="smoothMarker"/>
        <c:varyColors val="0"/>
        <c:ser>
          <c:idx val="1"/>
          <c:order val="1"/>
          <c:tx>
            <c:v>Power</c:v>
          </c:tx>
          <c:marker>
            <c:symbol val="square"/>
            <c:size val="3"/>
          </c:marker>
          <c:xVal>
            <c:numRef>
              <c:f>Sheet1!$A$11:$A$111</c:f>
              <c:numCache>
                <c:formatCode>_(* #,##0.0000_);_(* \(#,##0.0000\);_(* "-"??_);_(@_)</c:formatCode>
                <c:ptCount val="101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0.06</c:v>
                </c:pt>
                <c:pt idx="4">
                  <c:v>0.08</c:v>
                </c:pt>
                <c:pt idx="5">
                  <c:v>0.1</c:v>
                </c:pt>
                <c:pt idx="6">
                  <c:v>0.12000000000000001</c:v>
                </c:pt>
                <c:pt idx="7">
                  <c:v>0.14000000000000001</c:v>
                </c:pt>
                <c:pt idx="8">
                  <c:v>0.16</c:v>
                </c:pt>
                <c:pt idx="9">
                  <c:v>0.18</c:v>
                </c:pt>
                <c:pt idx="10">
                  <c:v>0.19999999999999998</c:v>
                </c:pt>
                <c:pt idx="11">
                  <c:v>0.21999999999999997</c:v>
                </c:pt>
                <c:pt idx="12">
                  <c:v>0.23999999999999996</c:v>
                </c:pt>
                <c:pt idx="13">
                  <c:v>0.25999999999999995</c:v>
                </c:pt>
                <c:pt idx="14">
                  <c:v>0.27999999999999997</c:v>
                </c:pt>
                <c:pt idx="15">
                  <c:v>0.3</c:v>
                </c:pt>
                <c:pt idx="16">
                  <c:v>0.32</c:v>
                </c:pt>
                <c:pt idx="17">
                  <c:v>0.34</c:v>
                </c:pt>
                <c:pt idx="18">
                  <c:v>0.36000000000000004</c:v>
                </c:pt>
                <c:pt idx="19">
                  <c:v>0.38000000000000006</c:v>
                </c:pt>
                <c:pt idx="20">
                  <c:v>0.40000000000000008</c:v>
                </c:pt>
                <c:pt idx="21">
                  <c:v>0.4200000000000001</c:v>
                </c:pt>
                <c:pt idx="22">
                  <c:v>0.44000000000000011</c:v>
                </c:pt>
                <c:pt idx="23">
                  <c:v>0.46000000000000013</c:v>
                </c:pt>
                <c:pt idx="24">
                  <c:v>0.48000000000000015</c:v>
                </c:pt>
                <c:pt idx="25">
                  <c:v>0.50000000000000011</c:v>
                </c:pt>
                <c:pt idx="26">
                  <c:v>0.52000000000000013</c:v>
                </c:pt>
                <c:pt idx="27">
                  <c:v>0.54000000000000015</c:v>
                </c:pt>
                <c:pt idx="28">
                  <c:v>0.56000000000000016</c:v>
                </c:pt>
                <c:pt idx="29">
                  <c:v>0.58000000000000018</c:v>
                </c:pt>
                <c:pt idx="30">
                  <c:v>0.6000000000000002</c:v>
                </c:pt>
                <c:pt idx="31">
                  <c:v>0.62000000000000022</c:v>
                </c:pt>
                <c:pt idx="32">
                  <c:v>0.64000000000000024</c:v>
                </c:pt>
                <c:pt idx="33">
                  <c:v>0.66000000000000025</c:v>
                </c:pt>
                <c:pt idx="34">
                  <c:v>0.68000000000000027</c:v>
                </c:pt>
                <c:pt idx="35">
                  <c:v>0.70000000000000029</c:v>
                </c:pt>
                <c:pt idx="36">
                  <c:v>0.72000000000000031</c:v>
                </c:pt>
                <c:pt idx="37">
                  <c:v>0.74000000000000032</c:v>
                </c:pt>
                <c:pt idx="38">
                  <c:v>0.76000000000000034</c:v>
                </c:pt>
                <c:pt idx="39">
                  <c:v>0.78000000000000036</c:v>
                </c:pt>
                <c:pt idx="40">
                  <c:v>0.80000000000000038</c:v>
                </c:pt>
                <c:pt idx="41">
                  <c:v>0.8200000000000004</c:v>
                </c:pt>
                <c:pt idx="42">
                  <c:v>0.84000000000000041</c:v>
                </c:pt>
                <c:pt idx="43">
                  <c:v>0.86000000000000043</c:v>
                </c:pt>
                <c:pt idx="44">
                  <c:v>0.88000000000000045</c:v>
                </c:pt>
                <c:pt idx="45">
                  <c:v>0.90000000000000047</c:v>
                </c:pt>
                <c:pt idx="46">
                  <c:v>0.92000000000000048</c:v>
                </c:pt>
                <c:pt idx="47">
                  <c:v>0.9400000000000005</c:v>
                </c:pt>
                <c:pt idx="48">
                  <c:v>0.96000000000000052</c:v>
                </c:pt>
                <c:pt idx="49">
                  <c:v>0.98000000000000054</c:v>
                </c:pt>
                <c:pt idx="50">
                  <c:v>1.0000000000000004</c:v>
                </c:pt>
                <c:pt idx="51">
                  <c:v>1.0200000000000005</c:v>
                </c:pt>
                <c:pt idx="52">
                  <c:v>1.0400000000000005</c:v>
                </c:pt>
                <c:pt idx="53">
                  <c:v>1.0600000000000005</c:v>
                </c:pt>
                <c:pt idx="54">
                  <c:v>1.0800000000000005</c:v>
                </c:pt>
                <c:pt idx="55">
                  <c:v>1.1000000000000005</c:v>
                </c:pt>
                <c:pt idx="56">
                  <c:v>1.1200000000000006</c:v>
                </c:pt>
                <c:pt idx="57">
                  <c:v>1.1400000000000006</c:v>
                </c:pt>
                <c:pt idx="58">
                  <c:v>1.1600000000000006</c:v>
                </c:pt>
                <c:pt idx="59">
                  <c:v>1.1800000000000006</c:v>
                </c:pt>
                <c:pt idx="60">
                  <c:v>1.2000000000000006</c:v>
                </c:pt>
                <c:pt idx="61">
                  <c:v>1.2200000000000006</c:v>
                </c:pt>
                <c:pt idx="62">
                  <c:v>1.2400000000000007</c:v>
                </c:pt>
                <c:pt idx="63">
                  <c:v>1.2600000000000007</c:v>
                </c:pt>
                <c:pt idx="64">
                  <c:v>1.2800000000000007</c:v>
                </c:pt>
                <c:pt idx="65">
                  <c:v>1.3000000000000007</c:v>
                </c:pt>
                <c:pt idx="66">
                  <c:v>1.3200000000000007</c:v>
                </c:pt>
                <c:pt idx="67">
                  <c:v>1.3400000000000007</c:v>
                </c:pt>
                <c:pt idx="68">
                  <c:v>1.3600000000000008</c:v>
                </c:pt>
                <c:pt idx="69">
                  <c:v>1.3800000000000008</c:v>
                </c:pt>
                <c:pt idx="70">
                  <c:v>1.4000000000000008</c:v>
                </c:pt>
                <c:pt idx="71">
                  <c:v>1.4200000000000008</c:v>
                </c:pt>
                <c:pt idx="72">
                  <c:v>1.4400000000000008</c:v>
                </c:pt>
                <c:pt idx="73">
                  <c:v>1.4600000000000009</c:v>
                </c:pt>
                <c:pt idx="74">
                  <c:v>1.4800000000000009</c:v>
                </c:pt>
                <c:pt idx="75">
                  <c:v>1.5000000000000009</c:v>
                </c:pt>
                <c:pt idx="76">
                  <c:v>1.5200000000000009</c:v>
                </c:pt>
                <c:pt idx="77">
                  <c:v>1.5400000000000009</c:v>
                </c:pt>
                <c:pt idx="78">
                  <c:v>1.5600000000000009</c:v>
                </c:pt>
                <c:pt idx="79">
                  <c:v>1.580000000000001</c:v>
                </c:pt>
                <c:pt idx="80">
                  <c:v>1.600000000000001</c:v>
                </c:pt>
                <c:pt idx="81">
                  <c:v>1.620000000000001</c:v>
                </c:pt>
                <c:pt idx="82">
                  <c:v>1.640000000000001</c:v>
                </c:pt>
                <c:pt idx="83">
                  <c:v>1.660000000000001</c:v>
                </c:pt>
                <c:pt idx="84">
                  <c:v>1.680000000000001</c:v>
                </c:pt>
                <c:pt idx="85">
                  <c:v>1.7000000000000011</c:v>
                </c:pt>
                <c:pt idx="86">
                  <c:v>1.7200000000000011</c:v>
                </c:pt>
                <c:pt idx="87">
                  <c:v>1.7400000000000011</c:v>
                </c:pt>
                <c:pt idx="88">
                  <c:v>1.7600000000000011</c:v>
                </c:pt>
                <c:pt idx="89">
                  <c:v>1.7800000000000011</c:v>
                </c:pt>
                <c:pt idx="90">
                  <c:v>1.8000000000000012</c:v>
                </c:pt>
                <c:pt idx="91">
                  <c:v>1.8200000000000012</c:v>
                </c:pt>
                <c:pt idx="92">
                  <c:v>1.8400000000000012</c:v>
                </c:pt>
                <c:pt idx="93">
                  <c:v>1.8600000000000012</c:v>
                </c:pt>
                <c:pt idx="94">
                  <c:v>1.8800000000000012</c:v>
                </c:pt>
                <c:pt idx="95">
                  <c:v>1.9000000000000012</c:v>
                </c:pt>
                <c:pt idx="96">
                  <c:v>1.9200000000000013</c:v>
                </c:pt>
                <c:pt idx="97">
                  <c:v>1.9400000000000013</c:v>
                </c:pt>
                <c:pt idx="98">
                  <c:v>1.9600000000000013</c:v>
                </c:pt>
                <c:pt idx="99">
                  <c:v>1.9800000000000013</c:v>
                </c:pt>
                <c:pt idx="100">
                  <c:v>2.0000000000000013</c:v>
                </c:pt>
              </c:numCache>
            </c:numRef>
          </c:xVal>
          <c:yVal>
            <c:numRef>
              <c:f>Sheet1!$C$11:$C$111</c:f>
              <c:numCache>
                <c:formatCode>_(* #,##0.00_);_(* \(#,##0.00\);_(* "-"??_);_(@_)</c:formatCode>
                <c:ptCount val="101"/>
                <c:pt idx="0">
                  <c:v>0</c:v>
                </c:pt>
                <c:pt idx="1">
                  <c:v>7.9200000000000007E-2</c:v>
                </c:pt>
                <c:pt idx="2">
                  <c:v>0.15679999999999999</c:v>
                </c:pt>
                <c:pt idx="3">
                  <c:v>0.23279999999999998</c:v>
                </c:pt>
                <c:pt idx="4">
                  <c:v>0.30719999999999997</c:v>
                </c:pt>
                <c:pt idx="5">
                  <c:v>0.38</c:v>
                </c:pt>
                <c:pt idx="6">
                  <c:v>0.45119999999999999</c:v>
                </c:pt>
                <c:pt idx="7">
                  <c:v>0.52080000000000004</c:v>
                </c:pt>
                <c:pt idx="8">
                  <c:v>0.58879999999999999</c:v>
                </c:pt>
                <c:pt idx="9">
                  <c:v>0.65519999999999989</c:v>
                </c:pt>
                <c:pt idx="10">
                  <c:v>0.71999999999999986</c:v>
                </c:pt>
                <c:pt idx="11">
                  <c:v>0.78319999999999979</c:v>
                </c:pt>
                <c:pt idx="12">
                  <c:v>0.84479999999999977</c:v>
                </c:pt>
                <c:pt idx="13">
                  <c:v>0.90479999999999972</c:v>
                </c:pt>
                <c:pt idx="14">
                  <c:v>0.96319999999999972</c:v>
                </c:pt>
                <c:pt idx="15">
                  <c:v>1.0199999999999998</c:v>
                </c:pt>
                <c:pt idx="16">
                  <c:v>1.0751999999999999</c:v>
                </c:pt>
                <c:pt idx="17">
                  <c:v>1.1287999999999998</c:v>
                </c:pt>
                <c:pt idx="18">
                  <c:v>1.1807999999999998</c:v>
                </c:pt>
                <c:pt idx="19">
                  <c:v>1.2311999999999999</c:v>
                </c:pt>
                <c:pt idx="20">
                  <c:v>1.28</c:v>
                </c:pt>
                <c:pt idx="21">
                  <c:v>1.3271999999999999</c:v>
                </c:pt>
                <c:pt idx="22">
                  <c:v>1.3728</c:v>
                </c:pt>
                <c:pt idx="23">
                  <c:v>1.4168000000000001</c:v>
                </c:pt>
                <c:pt idx="24">
                  <c:v>1.4592000000000001</c:v>
                </c:pt>
                <c:pt idx="25">
                  <c:v>1.5</c:v>
                </c:pt>
                <c:pt idx="26">
                  <c:v>1.5391999999999999</c:v>
                </c:pt>
                <c:pt idx="27">
                  <c:v>1.5768</c:v>
                </c:pt>
                <c:pt idx="28">
                  <c:v>1.6128</c:v>
                </c:pt>
                <c:pt idx="29">
                  <c:v>1.6472</c:v>
                </c:pt>
                <c:pt idx="30">
                  <c:v>1.68</c:v>
                </c:pt>
                <c:pt idx="31">
                  <c:v>1.7111999999999998</c:v>
                </c:pt>
                <c:pt idx="32">
                  <c:v>1.7407999999999999</c:v>
                </c:pt>
                <c:pt idx="33">
                  <c:v>1.7687999999999999</c:v>
                </c:pt>
                <c:pt idx="34">
                  <c:v>1.7951999999999999</c:v>
                </c:pt>
                <c:pt idx="35">
                  <c:v>1.8199999999999998</c:v>
                </c:pt>
                <c:pt idx="36">
                  <c:v>1.8431999999999999</c:v>
                </c:pt>
                <c:pt idx="37">
                  <c:v>1.8647999999999998</c:v>
                </c:pt>
                <c:pt idx="38">
                  <c:v>1.8847999999999998</c:v>
                </c:pt>
                <c:pt idx="39">
                  <c:v>1.9031999999999998</c:v>
                </c:pt>
                <c:pt idx="40">
                  <c:v>1.9199999999999997</c:v>
                </c:pt>
                <c:pt idx="41">
                  <c:v>1.9351999999999998</c:v>
                </c:pt>
                <c:pt idx="42">
                  <c:v>1.9487999999999996</c:v>
                </c:pt>
                <c:pt idx="43">
                  <c:v>1.9607999999999997</c:v>
                </c:pt>
                <c:pt idx="44">
                  <c:v>1.9711999999999996</c:v>
                </c:pt>
                <c:pt idx="45">
                  <c:v>1.9799999999999995</c:v>
                </c:pt>
                <c:pt idx="46">
                  <c:v>1.9871999999999996</c:v>
                </c:pt>
                <c:pt idx="47">
                  <c:v>1.9927999999999995</c:v>
                </c:pt>
                <c:pt idx="48">
                  <c:v>1.9967999999999995</c:v>
                </c:pt>
                <c:pt idx="49">
                  <c:v>1.9991999999999994</c:v>
                </c:pt>
                <c:pt idx="50">
                  <c:v>1.9999999999999991</c:v>
                </c:pt>
                <c:pt idx="51">
                  <c:v>1.999199999999999</c:v>
                </c:pt>
                <c:pt idx="52">
                  <c:v>1.996799999999999</c:v>
                </c:pt>
                <c:pt idx="53">
                  <c:v>1.992799999999999</c:v>
                </c:pt>
                <c:pt idx="54">
                  <c:v>1.987199999999999</c:v>
                </c:pt>
                <c:pt idx="55">
                  <c:v>1.9799999999999989</c:v>
                </c:pt>
                <c:pt idx="56">
                  <c:v>1.9711999999999987</c:v>
                </c:pt>
                <c:pt idx="57">
                  <c:v>1.9607999999999988</c:v>
                </c:pt>
                <c:pt idx="58">
                  <c:v>1.9487999999999985</c:v>
                </c:pt>
                <c:pt idx="59">
                  <c:v>1.9351999999999985</c:v>
                </c:pt>
                <c:pt idx="60">
                  <c:v>1.9199999999999984</c:v>
                </c:pt>
                <c:pt idx="61">
                  <c:v>1.9031999999999984</c:v>
                </c:pt>
                <c:pt idx="62">
                  <c:v>1.8847999999999983</c:v>
                </c:pt>
                <c:pt idx="63">
                  <c:v>1.8647999999999982</c:v>
                </c:pt>
                <c:pt idx="64">
                  <c:v>1.8431999999999982</c:v>
                </c:pt>
                <c:pt idx="65">
                  <c:v>1.8199999999999981</c:v>
                </c:pt>
                <c:pt idx="66">
                  <c:v>1.7951999999999979</c:v>
                </c:pt>
                <c:pt idx="67">
                  <c:v>1.7687999999999977</c:v>
                </c:pt>
                <c:pt idx="68">
                  <c:v>1.7407999999999977</c:v>
                </c:pt>
                <c:pt idx="69">
                  <c:v>1.7111999999999976</c:v>
                </c:pt>
                <c:pt idx="70">
                  <c:v>1.6799999999999975</c:v>
                </c:pt>
                <c:pt idx="71">
                  <c:v>1.6471999999999973</c:v>
                </c:pt>
                <c:pt idx="72">
                  <c:v>1.6127999999999973</c:v>
                </c:pt>
                <c:pt idx="73">
                  <c:v>1.5767999999999971</c:v>
                </c:pt>
                <c:pt idx="74">
                  <c:v>1.539199999999997</c:v>
                </c:pt>
                <c:pt idx="75">
                  <c:v>1.4999999999999969</c:v>
                </c:pt>
                <c:pt idx="76">
                  <c:v>1.4591999999999967</c:v>
                </c:pt>
                <c:pt idx="77">
                  <c:v>1.4167999999999967</c:v>
                </c:pt>
                <c:pt idx="78">
                  <c:v>1.3727999999999965</c:v>
                </c:pt>
                <c:pt idx="79">
                  <c:v>1.3271999999999964</c:v>
                </c:pt>
                <c:pt idx="80">
                  <c:v>1.2799999999999963</c:v>
                </c:pt>
                <c:pt idx="81">
                  <c:v>1.2311999999999961</c:v>
                </c:pt>
                <c:pt idx="82">
                  <c:v>1.1807999999999959</c:v>
                </c:pt>
                <c:pt idx="83">
                  <c:v>1.1287999999999958</c:v>
                </c:pt>
                <c:pt idx="84">
                  <c:v>1.0751999999999957</c:v>
                </c:pt>
                <c:pt idx="85">
                  <c:v>1.0199999999999956</c:v>
                </c:pt>
                <c:pt idx="86">
                  <c:v>0.96319999999999539</c:v>
                </c:pt>
                <c:pt idx="87">
                  <c:v>0.90479999999999516</c:v>
                </c:pt>
                <c:pt idx="88">
                  <c:v>0.84479999999999511</c:v>
                </c:pt>
                <c:pt idx="89">
                  <c:v>0.78319999999999512</c:v>
                </c:pt>
                <c:pt idx="90">
                  <c:v>0.71999999999999498</c:v>
                </c:pt>
                <c:pt idx="91">
                  <c:v>0.6551999999999949</c:v>
                </c:pt>
                <c:pt idx="92">
                  <c:v>0.58879999999999488</c:v>
                </c:pt>
                <c:pt idx="93">
                  <c:v>0.52079999999999482</c:v>
                </c:pt>
                <c:pt idx="94">
                  <c:v>0.45119999999999472</c:v>
                </c:pt>
                <c:pt idx="95">
                  <c:v>0.37999999999999456</c:v>
                </c:pt>
                <c:pt idx="96">
                  <c:v>0.30719999999999448</c:v>
                </c:pt>
                <c:pt idx="97">
                  <c:v>0.23279999999999432</c:v>
                </c:pt>
                <c:pt idx="98">
                  <c:v>0.15679999999999419</c:v>
                </c:pt>
                <c:pt idx="99">
                  <c:v>7.9199999999994095E-2</c:v>
                </c:pt>
                <c:pt idx="100">
                  <c:v>-6.0229599085914782E-15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EF9-4EF9-8D43-0DFB1BCD88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432896"/>
        <c:axId val="52430720"/>
      </c:scatterChart>
      <c:valAx>
        <c:axId val="460696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Motor Torque (Nm) </a:t>
                </a:r>
              </a:p>
            </c:rich>
          </c:tx>
          <c:overlay val="0"/>
        </c:title>
        <c:numFmt formatCode="_(* #,##0.0000_);_(* \(#,##0.0000\);_(* &quot;-&quot;??_);_(@_)" sourceLinked="1"/>
        <c:majorTickMark val="out"/>
        <c:minorTickMark val="none"/>
        <c:tickLblPos val="nextTo"/>
        <c:crossAx val="52428800"/>
        <c:crosses val="autoZero"/>
        <c:crossBetween val="midCat"/>
      </c:valAx>
      <c:valAx>
        <c:axId val="52428800"/>
        <c:scaling>
          <c:orientation val="minMax"/>
          <c:min val="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>
                    <a:solidFill>
                      <a:schemeClr val="tx2"/>
                    </a:solidFill>
                  </a:defRPr>
                </a:pPr>
                <a:r>
                  <a:rPr lang="en-US">
                    <a:solidFill>
                      <a:schemeClr val="tx2"/>
                    </a:solidFill>
                  </a:rPr>
                  <a:t>Motor Efficiency (%)</a:t>
                </a:r>
              </a:p>
            </c:rich>
          </c:tx>
          <c:overlay val="0"/>
          <c:spPr>
            <a:ln>
              <a:noFill/>
            </a:ln>
          </c:spPr>
        </c:title>
        <c:numFmt formatCode="#,##0.00_);\(#,##0.00\)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chemeClr val="tx2"/>
                </a:solidFill>
              </a:defRPr>
            </a:pPr>
            <a:endParaRPr lang="en-US"/>
          </a:p>
        </c:txPr>
        <c:crossAx val="46069632"/>
        <c:crosses val="autoZero"/>
        <c:crossBetween val="midCat"/>
      </c:valAx>
      <c:valAx>
        <c:axId val="52430720"/>
        <c:scaling>
          <c:orientation val="minMax"/>
          <c:min val="0"/>
        </c:scaling>
        <c:delete val="0"/>
        <c:axPos val="r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>
                    <a:solidFill>
                      <a:srgbClr val="C00000"/>
                    </a:solidFill>
                  </a:rPr>
                  <a:t>Output Power (W)</a:t>
                </a:r>
              </a:p>
            </c:rich>
          </c:tx>
          <c:overlay val="0"/>
        </c:title>
        <c:numFmt formatCode="_(* #,##0.00_);_(* \(#,##0.00\);_(* &quot;-&quot;??_);_(@_)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C00000"/>
                </a:solidFill>
              </a:defRPr>
            </a:pPr>
            <a:endParaRPr lang="en-US"/>
          </a:p>
        </c:txPr>
        <c:crossAx val="52432896"/>
        <c:crosses val="max"/>
        <c:crossBetween val="midCat"/>
      </c:valAx>
      <c:valAx>
        <c:axId val="52432896"/>
        <c:scaling>
          <c:orientation val="minMax"/>
        </c:scaling>
        <c:delete val="1"/>
        <c:axPos val="b"/>
        <c:numFmt formatCode="_(* #,##0.0000_);_(* \(#,##0.0000\);_(* &quot;-&quot;??_);_(@_)" sourceLinked="1"/>
        <c:majorTickMark val="out"/>
        <c:minorTickMark val="none"/>
        <c:tickLblPos val="nextTo"/>
        <c:crossAx val="52430720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Speed</a:t>
            </a:r>
            <a:r>
              <a:rPr lang="en-US" baseline="0"/>
              <a:t> and Current </a:t>
            </a:r>
          </a:p>
          <a:p>
            <a:pPr>
              <a:defRPr/>
            </a:pPr>
            <a:r>
              <a:rPr lang="en-US" baseline="0"/>
              <a:t>vs. Torque</a:t>
            </a:r>
          </a:p>
          <a:p>
            <a:pPr>
              <a:defRPr/>
            </a:pPr>
            <a:r>
              <a:rPr lang="en-US" baseline="0"/>
              <a:t>(Constant Voltage)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4947891933821886"/>
          <c:y val="0.32702047465946305"/>
          <c:w val="0.71519267293393418"/>
          <c:h val="0.47082037131075644"/>
        </c:manualLayout>
      </c:layout>
      <c:scatterChart>
        <c:scatterStyle val="lineMarker"/>
        <c:varyColors val="0"/>
        <c:ser>
          <c:idx val="1"/>
          <c:order val="1"/>
          <c:tx>
            <c:v>Speed</c:v>
          </c:tx>
          <c:spPr>
            <a:ln w="28575">
              <a:solidFill>
                <a:schemeClr val="accent3"/>
              </a:solidFill>
            </a:ln>
          </c:spPr>
          <c:marker>
            <c:symbol val="square"/>
            <c:size val="2"/>
            <c:spPr>
              <a:solidFill>
                <a:schemeClr val="accent3"/>
              </a:solidFill>
              <a:ln>
                <a:solidFill>
                  <a:schemeClr val="accent3"/>
                </a:solidFill>
              </a:ln>
            </c:spPr>
          </c:marker>
          <c:xVal>
            <c:numRef>
              <c:f>Sheet1!$A$11:$A$111</c:f>
              <c:numCache>
                <c:formatCode>_(* #,##0.0000_);_(* \(#,##0.0000\);_(* "-"??_);_(@_)</c:formatCode>
                <c:ptCount val="101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0.06</c:v>
                </c:pt>
                <c:pt idx="4">
                  <c:v>0.08</c:v>
                </c:pt>
                <c:pt idx="5">
                  <c:v>0.1</c:v>
                </c:pt>
                <c:pt idx="6">
                  <c:v>0.12000000000000001</c:v>
                </c:pt>
                <c:pt idx="7">
                  <c:v>0.14000000000000001</c:v>
                </c:pt>
                <c:pt idx="8">
                  <c:v>0.16</c:v>
                </c:pt>
                <c:pt idx="9">
                  <c:v>0.18</c:v>
                </c:pt>
                <c:pt idx="10">
                  <c:v>0.19999999999999998</c:v>
                </c:pt>
                <c:pt idx="11">
                  <c:v>0.21999999999999997</c:v>
                </c:pt>
                <c:pt idx="12">
                  <c:v>0.23999999999999996</c:v>
                </c:pt>
                <c:pt idx="13">
                  <c:v>0.25999999999999995</c:v>
                </c:pt>
                <c:pt idx="14">
                  <c:v>0.27999999999999997</c:v>
                </c:pt>
                <c:pt idx="15">
                  <c:v>0.3</c:v>
                </c:pt>
                <c:pt idx="16">
                  <c:v>0.32</c:v>
                </c:pt>
                <c:pt idx="17">
                  <c:v>0.34</c:v>
                </c:pt>
                <c:pt idx="18">
                  <c:v>0.36000000000000004</c:v>
                </c:pt>
                <c:pt idx="19">
                  <c:v>0.38000000000000006</c:v>
                </c:pt>
                <c:pt idx="20">
                  <c:v>0.40000000000000008</c:v>
                </c:pt>
                <c:pt idx="21">
                  <c:v>0.4200000000000001</c:v>
                </c:pt>
                <c:pt idx="22">
                  <c:v>0.44000000000000011</c:v>
                </c:pt>
                <c:pt idx="23">
                  <c:v>0.46000000000000013</c:v>
                </c:pt>
                <c:pt idx="24">
                  <c:v>0.48000000000000015</c:v>
                </c:pt>
                <c:pt idx="25">
                  <c:v>0.50000000000000011</c:v>
                </c:pt>
                <c:pt idx="26">
                  <c:v>0.52000000000000013</c:v>
                </c:pt>
                <c:pt idx="27">
                  <c:v>0.54000000000000015</c:v>
                </c:pt>
                <c:pt idx="28">
                  <c:v>0.56000000000000016</c:v>
                </c:pt>
                <c:pt idx="29">
                  <c:v>0.58000000000000018</c:v>
                </c:pt>
                <c:pt idx="30">
                  <c:v>0.6000000000000002</c:v>
                </c:pt>
                <c:pt idx="31">
                  <c:v>0.62000000000000022</c:v>
                </c:pt>
                <c:pt idx="32">
                  <c:v>0.64000000000000024</c:v>
                </c:pt>
                <c:pt idx="33">
                  <c:v>0.66000000000000025</c:v>
                </c:pt>
                <c:pt idx="34">
                  <c:v>0.68000000000000027</c:v>
                </c:pt>
                <c:pt idx="35">
                  <c:v>0.70000000000000029</c:v>
                </c:pt>
                <c:pt idx="36">
                  <c:v>0.72000000000000031</c:v>
                </c:pt>
                <c:pt idx="37">
                  <c:v>0.74000000000000032</c:v>
                </c:pt>
                <c:pt idx="38">
                  <c:v>0.76000000000000034</c:v>
                </c:pt>
                <c:pt idx="39">
                  <c:v>0.78000000000000036</c:v>
                </c:pt>
                <c:pt idx="40">
                  <c:v>0.80000000000000038</c:v>
                </c:pt>
                <c:pt idx="41">
                  <c:v>0.8200000000000004</c:v>
                </c:pt>
                <c:pt idx="42">
                  <c:v>0.84000000000000041</c:v>
                </c:pt>
                <c:pt idx="43">
                  <c:v>0.86000000000000043</c:v>
                </c:pt>
                <c:pt idx="44">
                  <c:v>0.88000000000000045</c:v>
                </c:pt>
                <c:pt idx="45">
                  <c:v>0.90000000000000047</c:v>
                </c:pt>
                <c:pt idx="46">
                  <c:v>0.92000000000000048</c:v>
                </c:pt>
                <c:pt idx="47">
                  <c:v>0.9400000000000005</c:v>
                </c:pt>
                <c:pt idx="48">
                  <c:v>0.96000000000000052</c:v>
                </c:pt>
                <c:pt idx="49">
                  <c:v>0.98000000000000054</c:v>
                </c:pt>
                <c:pt idx="50">
                  <c:v>1.0000000000000004</c:v>
                </c:pt>
                <c:pt idx="51">
                  <c:v>1.0200000000000005</c:v>
                </c:pt>
                <c:pt idx="52">
                  <c:v>1.0400000000000005</c:v>
                </c:pt>
                <c:pt idx="53">
                  <c:v>1.0600000000000005</c:v>
                </c:pt>
                <c:pt idx="54">
                  <c:v>1.0800000000000005</c:v>
                </c:pt>
                <c:pt idx="55">
                  <c:v>1.1000000000000005</c:v>
                </c:pt>
                <c:pt idx="56">
                  <c:v>1.1200000000000006</c:v>
                </c:pt>
                <c:pt idx="57">
                  <c:v>1.1400000000000006</c:v>
                </c:pt>
                <c:pt idx="58">
                  <c:v>1.1600000000000006</c:v>
                </c:pt>
                <c:pt idx="59">
                  <c:v>1.1800000000000006</c:v>
                </c:pt>
                <c:pt idx="60">
                  <c:v>1.2000000000000006</c:v>
                </c:pt>
                <c:pt idx="61">
                  <c:v>1.2200000000000006</c:v>
                </c:pt>
                <c:pt idx="62">
                  <c:v>1.2400000000000007</c:v>
                </c:pt>
                <c:pt idx="63">
                  <c:v>1.2600000000000007</c:v>
                </c:pt>
                <c:pt idx="64">
                  <c:v>1.2800000000000007</c:v>
                </c:pt>
                <c:pt idx="65">
                  <c:v>1.3000000000000007</c:v>
                </c:pt>
                <c:pt idx="66">
                  <c:v>1.3200000000000007</c:v>
                </c:pt>
                <c:pt idx="67">
                  <c:v>1.3400000000000007</c:v>
                </c:pt>
                <c:pt idx="68">
                  <c:v>1.3600000000000008</c:v>
                </c:pt>
                <c:pt idx="69">
                  <c:v>1.3800000000000008</c:v>
                </c:pt>
                <c:pt idx="70">
                  <c:v>1.4000000000000008</c:v>
                </c:pt>
                <c:pt idx="71">
                  <c:v>1.4200000000000008</c:v>
                </c:pt>
                <c:pt idx="72">
                  <c:v>1.4400000000000008</c:v>
                </c:pt>
                <c:pt idx="73">
                  <c:v>1.4600000000000009</c:v>
                </c:pt>
                <c:pt idx="74">
                  <c:v>1.4800000000000009</c:v>
                </c:pt>
                <c:pt idx="75">
                  <c:v>1.5000000000000009</c:v>
                </c:pt>
                <c:pt idx="76">
                  <c:v>1.5200000000000009</c:v>
                </c:pt>
                <c:pt idx="77">
                  <c:v>1.5400000000000009</c:v>
                </c:pt>
                <c:pt idx="78">
                  <c:v>1.5600000000000009</c:v>
                </c:pt>
                <c:pt idx="79">
                  <c:v>1.580000000000001</c:v>
                </c:pt>
                <c:pt idx="80">
                  <c:v>1.600000000000001</c:v>
                </c:pt>
                <c:pt idx="81">
                  <c:v>1.620000000000001</c:v>
                </c:pt>
                <c:pt idx="82">
                  <c:v>1.640000000000001</c:v>
                </c:pt>
                <c:pt idx="83">
                  <c:v>1.660000000000001</c:v>
                </c:pt>
                <c:pt idx="84">
                  <c:v>1.680000000000001</c:v>
                </c:pt>
                <c:pt idx="85">
                  <c:v>1.7000000000000011</c:v>
                </c:pt>
                <c:pt idx="86">
                  <c:v>1.7200000000000011</c:v>
                </c:pt>
                <c:pt idx="87">
                  <c:v>1.7400000000000011</c:v>
                </c:pt>
                <c:pt idx="88">
                  <c:v>1.7600000000000011</c:v>
                </c:pt>
                <c:pt idx="89">
                  <c:v>1.7800000000000011</c:v>
                </c:pt>
                <c:pt idx="90">
                  <c:v>1.8000000000000012</c:v>
                </c:pt>
                <c:pt idx="91">
                  <c:v>1.8200000000000012</c:v>
                </c:pt>
                <c:pt idx="92">
                  <c:v>1.8400000000000012</c:v>
                </c:pt>
                <c:pt idx="93">
                  <c:v>1.8600000000000012</c:v>
                </c:pt>
                <c:pt idx="94">
                  <c:v>1.8800000000000012</c:v>
                </c:pt>
                <c:pt idx="95">
                  <c:v>1.9000000000000012</c:v>
                </c:pt>
                <c:pt idx="96">
                  <c:v>1.9200000000000013</c:v>
                </c:pt>
                <c:pt idx="97">
                  <c:v>1.9400000000000013</c:v>
                </c:pt>
                <c:pt idx="98">
                  <c:v>1.9600000000000013</c:v>
                </c:pt>
                <c:pt idx="99">
                  <c:v>1.9800000000000013</c:v>
                </c:pt>
                <c:pt idx="100">
                  <c:v>2.0000000000000013</c:v>
                </c:pt>
              </c:numCache>
            </c:numRef>
          </c:xVal>
          <c:yVal>
            <c:numRef>
              <c:f>Sheet1!$B$11:$B$111</c:f>
              <c:numCache>
                <c:formatCode>_(* #,##0.0_);_(* \(#,##0.0\);_(* "-"??_);_(@_)</c:formatCode>
                <c:ptCount val="101"/>
                <c:pt idx="0">
                  <c:v>4</c:v>
                </c:pt>
                <c:pt idx="1">
                  <c:v>3.96</c:v>
                </c:pt>
                <c:pt idx="2">
                  <c:v>3.92</c:v>
                </c:pt>
                <c:pt idx="3">
                  <c:v>3.88</c:v>
                </c:pt>
                <c:pt idx="4">
                  <c:v>3.84</c:v>
                </c:pt>
                <c:pt idx="5">
                  <c:v>3.8</c:v>
                </c:pt>
                <c:pt idx="6">
                  <c:v>3.76</c:v>
                </c:pt>
                <c:pt idx="7">
                  <c:v>3.7199999999999998</c:v>
                </c:pt>
                <c:pt idx="8">
                  <c:v>3.6799999999999997</c:v>
                </c:pt>
                <c:pt idx="9">
                  <c:v>3.6399999999999997</c:v>
                </c:pt>
                <c:pt idx="10">
                  <c:v>3.5999999999999996</c:v>
                </c:pt>
                <c:pt idx="11">
                  <c:v>3.5599999999999996</c:v>
                </c:pt>
                <c:pt idx="12">
                  <c:v>3.5199999999999996</c:v>
                </c:pt>
                <c:pt idx="13">
                  <c:v>3.4799999999999995</c:v>
                </c:pt>
                <c:pt idx="14">
                  <c:v>3.4399999999999995</c:v>
                </c:pt>
                <c:pt idx="15">
                  <c:v>3.3999999999999995</c:v>
                </c:pt>
                <c:pt idx="16">
                  <c:v>3.3599999999999994</c:v>
                </c:pt>
                <c:pt idx="17">
                  <c:v>3.3199999999999994</c:v>
                </c:pt>
                <c:pt idx="18">
                  <c:v>3.2799999999999994</c:v>
                </c:pt>
                <c:pt idx="19">
                  <c:v>3.2399999999999993</c:v>
                </c:pt>
                <c:pt idx="20">
                  <c:v>3.1999999999999993</c:v>
                </c:pt>
                <c:pt idx="21">
                  <c:v>3.1599999999999993</c:v>
                </c:pt>
                <c:pt idx="22">
                  <c:v>3.1199999999999992</c:v>
                </c:pt>
                <c:pt idx="23">
                  <c:v>3.0799999999999992</c:v>
                </c:pt>
                <c:pt idx="24">
                  <c:v>3.0399999999999991</c:v>
                </c:pt>
                <c:pt idx="25">
                  <c:v>2.9999999999999991</c:v>
                </c:pt>
                <c:pt idx="26">
                  <c:v>2.9599999999999991</c:v>
                </c:pt>
                <c:pt idx="27">
                  <c:v>2.919999999999999</c:v>
                </c:pt>
                <c:pt idx="28">
                  <c:v>2.879999999999999</c:v>
                </c:pt>
                <c:pt idx="29">
                  <c:v>2.839999999999999</c:v>
                </c:pt>
                <c:pt idx="30">
                  <c:v>2.7999999999999989</c:v>
                </c:pt>
                <c:pt idx="31">
                  <c:v>2.7599999999999989</c:v>
                </c:pt>
                <c:pt idx="32">
                  <c:v>2.7199999999999989</c:v>
                </c:pt>
                <c:pt idx="33">
                  <c:v>2.6799999999999988</c:v>
                </c:pt>
                <c:pt idx="34">
                  <c:v>2.6399999999999988</c:v>
                </c:pt>
                <c:pt idx="35">
                  <c:v>2.5999999999999988</c:v>
                </c:pt>
                <c:pt idx="36">
                  <c:v>2.5599999999999987</c:v>
                </c:pt>
                <c:pt idx="37">
                  <c:v>2.5199999999999987</c:v>
                </c:pt>
                <c:pt idx="38">
                  <c:v>2.4799999999999986</c:v>
                </c:pt>
                <c:pt idx="39">
                  <c:v>2.4399999999999986</c:v>
                </c:pt>
                <c:pt idx="40">
                  <c:v>2.3999999999999986</c:v>
                </c:pt>
                <c:pt idx="41">
                  <c:v>2.3599999999999985</c:v>
                </c:pt>
                <c:pt idx="42">
                  <c:v>2.3199999999999985</c:v>
                </c:pt>
                <c:pt idx="43">
                  <c:v>2.2799999999999985</c:v>
                </c:pt>
                <c:pt idx="44">
                  <c:v>2.2399999999999984</c:v>
                </c:pt>
                <c:pt idx="45">
                  <c:v>2.1999999999999984</c:v>
                </c:pt>
                <c:pt idx="46">
                  <c:v>2.1599999999999984</c:v>
                </c:pt>
                <c:pt idx="47">
                  <c:v>2.1199999999999983</c:v>
                </c:pt>
                <c:pt idx="48">
                  <c:v>2.0799999999999983</c:v>
                </c:pt>
                <c:pt idx="49">
                  <c:v>2.0399999999999983</c:v>
                </c:pt>
                <c:pt idx="50">
                  <c:v>1.9999999999999982</c:v>
                </c:pt>
                <c:pt idx="51">
                  <c:v>1.9599999999999982</c:v>
                </c:pt>
                <c:pt idx="52">
                  <c:v>1.9199999999999982</c:v>
                </c:pt>
                <c:pt idx="53">
                  <c:v>1.8799999999999981</c:v>
                </c:pt>
                <c:pt idx="54">
                  <c:v>1.8399999999999981</c:v>
                </c:pt>
                <c:pt idx="55">
                  <c:v>1.799999999999998</c:v>
                </c:pt>
                <c:pt idx="56">
                  <c:v>1.759999999999998</c:v>
                </c:pt>
                <c:pt idx="57">
                  <c:v>1.719999999999998</c:v>
                </c:pt>
                <c:pt idx="58">
                  <c:v>1.6799999999999979</c:v>
                </c:pt>
                <c:pt idx="59">
                  <c:v>1.6399999999999979</c:v>
                </c:pt>
                <c:pt idx="60">
                  <c:v>1.5999999999999979</c:v>
                </c:pt>
                <c:pt idx="61">
                  <c:v>1.5599999999999978</c:v>
                </c:pt>
                <c:pt idx="62">
                  <c:v>1.5199999999999978</c:v>
                </c:pt>
                <c:pt idx="63">
                  <c:v>1.4799999999999978</c:v>
                </c:pt>
                <c:pt idx="64">
                  <c:v>1.4399999999999977</c:v>
                </c:pt>
                <c:pt idx="65">
                  <c:v>1.3999999999999977</c:v>
                </c:pt>
                <c:pt idx="66">
                  <c:v>1.3599999999999977</c:v>
                </c:pt>
                <c:pt idx="67">
                  <c:v>1.3199999999999976</c:v>
                </c:pt>
                <c:pt idx="68">
                  <c:v>1.2799999999999976</c:v>
                </c:pt>
                <c:pt idx="69">
                  <c:v>1.2399999999999975</c:v>
                </c:pt>
                <c:pt idx="70">
                  <c:v>1.1999999999999975</c:v>
                </c:pt>
                <c:pt idx="71">
                  <c:v>1.1599999999999975</c:v>
                </c:pt>
                <c:pt idx="72">
                  <c:v>1.1199999999999974</c:v>
                </c:pt>
                <c:pt idx="73">
                  <c:v>1.0799999999999974</c:v>
                </c:pt>
                <c:pt idx="74">
                  <c:v>1.0399999999999974</c:v>
                </c:pt>
                <c:pt idx="75">
                  <c:v>0.99999999999999734</c:v>
                </c:pt>
                <c:pt idx="76">
                  <c:v>0.9599999999999973</c:v>
                </c:pt>
                <c:pt idx="77">
                  <c:v>0.91999999999999726</c:v>
                </c:pt>
                <c:pt idx="78">
                  <c:v>0.87999999999999723</c:v>
                </c:pt>
                <c:pt idx="79">
                  <c:v>0.83999999999999719</c:v>
                </c:pt>
                <c:pt idx="80">
                  <c:v>0.79999999999999716</c:v>
                </c:pt>
                <c:pt idx="81">
                  <c:v>0.75999999999999712</c:v>
                </c:pt>
                <c:pt idx="82">
                  <c:v>0.71999999999999709</c:v>
                </c:pt>
                <c:pt idx="83">
                  <c:v>0.67999999999999705</c:v>
                </c:pt>
                <c:pt idx="84">
                  <c:v>0.63999999999999702</c:v>
                </c:pt>
                <c:pt idx="85">
                  <c:v>0.59999999999999698</c:v>
                </c:pt>
                <c:pt idx="86">
                  <c:v>0.55999999999999694</c:v>
                </c:pt>
                <c:pt idx="87">
                  <c:v>0.51999999999999691</c:v>
                </c:pt>
                <c:pt idx="88">
                  <c:v>0.47999999999999693</c:v>
                </c:pt>
                <c:pt idx="89">
                  <c:v>0.43999999999999695</c:v>
                </c:pt>
                <c:pt idx="90">
                  <c:v>0.39999999999999697</c:v>
                </c:pt>
                <c:pt idx="91">
                  <c:v>0.35999999999999699</c:v>
                </c:pt>
                <c:pt idx="92">
                  <c:v>0.31999999999999701</c:v>
                </c:pt>
                <c:pt idx="93">
                  <c:v>0.27999999999999703</c:v>
                </c:pt>
                <c:pt idx="94">
                  <c:v>0.23999999999999702</c:v>
                </c:pt>
                <c:pt idx="95">
                  <c:v>0.19999999999999701</c:v>
                </c:pt>
                <c:pt idx="96">
                  <c:v>0.15999999999999701</c:v>
                </c:pt>
                <c:pt idx="97">
                  <c:v>0.119999999999997</c:v>
                </c:pt>
                <c:pt idx="98">
                  <c:v>7.999999999999699E-2</c:v>
                </c:pt>
                <c:pt idx="99">
                  <c:v>3.9999999999996989E-2</c:v>
                </c:pt>
                <c:pt idx="100">
                  <c:v>-3.0114799542957371E-15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BA0-47ED-8182-B3F0744999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466816"/>
        <c:axId val="52443776"/>
      </c:scatterChart>
      <c:scatterChart>
        <c:scatterStyle val="lineMarker"/>
        <c:varyColors val="0"/>
        <c:ser>
          <c:idx val="0"/>
          <c:order val="0"/>
          <c:tx>
            <c:v>Current</c:v>
          </c:tx>
          <c:spPr>
            <a:ln w="28575">
              <a:solidFill>
                <a:schemeClr val="accent4"/>
              </a:solidFill>
            </a:ln>
          </c:spPr>
          <c:marker>
            <c:symbol val="diamond"/>
            <c:size val="4"/>
            <c:spPr>
              <a:ln>
                <a:solidFill>
                  <a:schemeClr val="accent4"/>
                </a:solidFill>
              </a:ln>
            </c:spPr>
          </c:marker>
          <c:xVal>
            <c:numRef>
              <c:f>Sheet1!$A$11:$A$111</c:f>
              <c:numCache>
                <c:formatCode>_(* #,##0.0000_);_(* \(#,##0.0000\);_(* "-"??_);_(@_)</c:formatCode>
                <c:ptCount val="101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0.06</c:v>
                </c:pt>
                <c:pt idx="4">
                  <c:v>0.08</c:v>
                </c:pt>
                <c:pt idx="5">
                  <c:v>0.1</c:v>
                </c:pt>
                <c:pt idx="6">
                  <c:v>0.12000000000000001</c:v>
                </c:pt>
                <c:pt idx="7">
                  <c:v>0.14000000000000001</c:v>
                </c:pt>
                <c:pt idx="8">
                  <c:v>0.16</c:v>
                </c:pt>
                <c:pt idx="9">
                  <c:v>0.18</c:v>
                </c:pt>
                <c:pt idx="10">
                  <c:v>0.19999999999999998</c:v>
                </c:pt>
                <c:pt idx="11">
                  <c:v>0.21999999999999997</c:v>
                </c:pt>
                <c:pt idx="12">
                  <c:v>0.23999999999999996</c:v>
                </c:pt>
                <c:pt idx="13">
                  <c:v>0.25999999999999995</c:v>
                </c:pt>
                <c:pt idx="14">
                  <c:v>0.27999999999999997</c:v>
                </c:pt>
                <c:pt idx="15">
                  <c:v>0.3</c:v>
                </c:pt>
                <c:pt idx="16">
                  <c:v>0.32</c:v>
                </c:pt>
                <c:pt idx="17">
                  <c:v>0.34</c:v>
                </c:pt>
                <c:pt idx="18">
                  <c:v>0.36000000000000004</c:v>
                </c:pt>
                <c:pt idx="19">
                  <c:v>0.38000000000000006</c:v>
                </c:pt>
                <c:pt idx="20">
                  <c:v>0.40000000000000008</c:v>
                </c:pt>
                <c:pt idx="21">
                  <c:v>0.4200000000000001</c:v>
                </c:pt>
                <c:pt idx="22">
                  <c:v>0.44000000000000011</c:v>
                </c:pt>
                <c:pt idx="23">
                  <c:v>0.46000000000000013</c:v>
                </c:pt>
                <c:pt idx="24">
                  <c:v>0.48000000000000015</c:v>
                </c:pt>
                <c:pt idx="25">
                  <c:v>0.50000000000000011</c:v>
                </c:pt>
                <c:pt idx="26">
                  <c:v>0.52000000000000013</c:v>
                </c:pt>
                <c:pt idx="27">
                  <c:v>0.54000000000000015</c:v>
                </c:pt>
                <c:pt idx="28">
                  <c:v>0.56000000000000016</c:v>
                </c:pt>
                <c:pt idx="29">
                  <c:v>0.58000000000000018</c:v>
                </c:pt>
                <c:pt idx="30">
                  <c:v>0.6000000000000002</c:v>
                </c:pt>
                <c:pt idx="31">
                  <c:v>0.62000000000000022</c:v>
                </c:pt>
                <c:pt idx="32">
                  <c:v>0.64000000000000024</c:v>
                </c:pt>
                <c:pt idx="33">
                  <c:v>0.66000000000000025</c:v>
                </c:pt>
                <c:pt idx="34">
                  <c:v>0.68000000000000027</c:v>
                </c:pt>
                <c:pt idx="35">
                  <c:v>0.70000000000000029</c:v>
                </c:pt>
                <c:pt idx="36">
                  <c:v>0.72000000000000031</c:v>
                </c:pt>
                <c:pt idx="37">
                  <c:v>0.74000000000000032</c:v>
                </c:pt>
                <c:pt idx="38">
                  <c:v>0.76000000000000034</c:v>
                </c:pt>
                <c:pt idx="39">
                  <c:v>0.78000000000000036</c:v>
                </c:pt>
                <c:pt idx="40">
                  <c:v>0.80000000000000038</c:v>
                </c:pt>
                <c:pt idx="41">
                  <c:v>0.8200000000000004</c:v>
                </c:pt>
                <c:pt idx="42">
                  <c:v>0.84000000000000041</c:v>
                </c:pt>
                <c:pt idx="43">
                  <c:v>0.86000000000000043</c:v>
                </c:pt>
                <c:pt idx="44">
                  <c:v>0.88000000000000045</c:v>
                </c:pt>
                <c:pt idx="45">
                  <c:v>0.90000000000000047</c:v>
                </c:pt>
                <c:pt idx="46">
                  <c:v>0.92000000000000048</c:v>
                </c:pt>
                <c:pt idx="47">
                  <c:v>0.9400000000000005</c:v>
                </c:pt>
                <c:pt idx="48">
                  <c:v>0.96000000000000052</c:v>
                </c:pt>
                <c:pt idx="49">
                  <c:v>0.98000000000000054</c:v>
                </c:pt>
                <c:pt idx="50">
                  <c:v>1.0000000000000004</c:v>
                </c:pt>
                <c:pt idx="51">
                  <c:v>1.0200000000000005</c:v>
                </c:pt>
                <c:pt idx="52">
                  <c:v>1.0400000000000005</c:v>
                </c:pt>
                <c:pt idx="53">
                  <c:v>1.0600000000000005</c:v>
                </c:pt>
                <c:pt idx="54">
                  <c:v>1.0800000000000005</c:v>
                </c:pt>
                <c:pt idx="55">
                  <c:v>1.1000000000000005</c:v>
                </c:pt>
                <c:pt idx="56">
                  <c:v>1.1200000000000006</c:v>
                </c:pt>
                <c:pt idx="57">
                  <c:v>1.1400000000000006</c:v>
                </c:pt>
                <c:pt idx="58">
                  <c:v>1.1600000000000006</c:v>
                </c:pt>
                <c:pt idx="59">
                  <c:v>1.1800000000000006</c:v>
                </c:pt>
                <c:pt idx="60">
                  <c:v>1.2000000000000006</c:v>
                </c:pt>
                <c:pt idx="61">
                  <c:v>1.2200000000000006</c:v>
                </c:pt>
                <c:pt idx="62">
                  <c:v>1.2400000000000007</c:v>
                </c:pt>
                <c:pt idx="63">
                  <c:v>1.2600000000000007</c:v>
                </c:pt>
                <c:pt idx="64">
                  <c:v>1.2800000000000007</c:v>
                </c:pt>
                <c:pt idx="65">
                  <c:v>1.3000000000000007</c:v>
                </c:pt>
                <c:pt idx="66">
                  <c:v>1.3200000000000007</c:v>
                </c:pt>
                <c:pt idx="67">
                  <c:v>1.3400000000000007</c:v>
                </c:pt>
                <c:pt idx="68">
                  <c:v>1.3600000000000008</c:v>
                </c:pt>
                <c:pt idx="69">
                  <c:v>1.3800000000000008</c:v>
                </c:pt>
                <c:pt idx="70">
                  <c:v>1.4000000000000008</c:v>
                </c:pt>
                <c:pt idx="71">
                  <c:v>1.4200000000000008</c:v>
                </c:pt>
                <c:pt idx="72">
                  <c:v>1.4400000000000008</c:v>
                </c:pt>
                <c:pt idx="73">
                  <c:v>1.4600000000000009</c:v>
                </c:pt>
                <c:pt idx="74">
                  <c:v>1.4800000000000009</c:v>
                </c:pt>
                <c:pt idx="75">
                  <c:v>1.5000000000000009</c:v>
                </c:pt>
                <c:pt idx="76">
                  <c:v>1.5200000000000009</c:v>
                </c:pt>
                <c:pt idx="77">
                  <c:v>1.5400000000000009</c:v>
                </c:pt>
                <c:pt idx="78">
                  <c:v>1.5600000000000009</c:v>
                </c:pt>
                <c:pt idx="79">
                  <c:v>1.580000000000001</c:v>
                </c:pt>
                <c:pt idx="80">
                  <c:v>1.600000000000001</c:v>
                </c:pt>
                <c:pt idx="81">
                  <c:v>1.620000000000001</c:v>
                </c:pt>
                <c:pt idx="82">
                  <c:v>1.640000000000001</c:v>
                </c:pt>
                <c:pt idx="83">
                  <c:v>1.660000000000001</c:v>
                </c:pt>
                <c:pt idx="84">
                  <c:v>1.680000000000001</c:v>
                </c:pt>
                <c:pt idx="85">
                  <c:v>1.7000000000000011</c:v>
                </c:pt>
                <c:pt idx="86">
                  <c:v>1.7200000000000011</c:v>
                </c:pt>
                <c:pt idx="87">
                  <c:v>1.7400000000000011</c:v>
                </c:pt>
                <c:pt idx="88">
                  <c:v>1.7600000000000011</c:v>
                </c:pt>
                <c:pt idx="89">
                  <c:v>1.7800000000000011</c:v>
                </c:pt>
                <c:pt idx="90">
                  <c:v>1.8000000000000012</c:v>
                </c:pt>
                <c:pt idx="91">
                  <c:v>1.8200000000000012</c:v>
                </c:pt>
                <c:pt idx="92">
                  <c:v>1.8400000000000012</c:v>
                </c:pt>
                <c:pt idx="93">
                  <c:v>1.8600000000000012</c:v>
                </c:pt>
                <c:pt idx="94">
                  <c:v>1.8800000000000012</c:v>
                </c:pt>
                <c:pt idx="95">
                  <c:v>1.9000000000000012</c:v>
                </c:pt>
                <c:pt idx="96">
                  <c:v>1.9200000000000013</c:v>
                </c:pt>
                <c:pt idx="97">
                  <c:v>1.9400000000000013</c:v>
                </c:pt>
                <c:pt idx="98">
                  <c:v>1.9600000000000013</c:v>
                </c:pt>
                <c:pt idx="99">
                  <c:v>1.9800000000000013</c:v>
                </c:pt>
                <c:pt idx="100">
                  <c:v>2.0000000000000013</c:v>
                </c:pt>
              </c:numCache>
            </c:numRef>
          </c:xVal>
          <c:yVal>
            <c:numRef>
              <c:f>Sheet1!$E$11:$E$111</c:f>
              <c:numCache>
                <c:formatCode>_(* #,##0.000_);_(* \(#,##0.000\);_(* "-"??_);_(@_)</c:formatCode>
                <c:ptCount val="101"/>
                <c:pt idx="0">
                  <c:v>2</c:v>
                </c:pt>
                <c:pt idx="1">
                  <c:v>2.0099999999999998</c:v>
                </c:pt>
                <c:pt idx="2">
                  <c:v>2.0199999999999996</c:v>
                </c:pt>
                <c:pt idx="3">
                  <c:v>2.0299999999999994</c:v>
                </c:pt>
                <c:pt idx="4">
                  <c:v>2.0399999999999991</c:v>
                </c:pt>
                <c:pt idx="5">
                  <c:v>2.0499999999999989</c:v>
                </c:pt>
                <c:pt idx="6">
                  <c:v>2.0599999999999987</c:v>
                </c:pt>
                <c:pt idx="7">
                  <c:v>2.0699999999999985</c:v>
                </c:pt>
                <c:pt idx="8">
                  <c:v>2.0799999999999983</c:v>
                </c:pt>
                <c:pt idx="9">
                  <c:v>2.0899999999999981</c:v>
                </c:pt>
                <c:pt idx="10">
                  <c:v>2.0999999999999979</c:v>
                </c:pt>
                <c:pt idx="11">
                  <c:v>2.1099999999999977</c:v>
                </c:pt>
                <c:pt idx="12">
                  <c:v>2.1199999999999974</c:v>
                </c:pt>
                <c:pt idx="13">
                  <c:v>2.1299999999999972</c:v>
                </c:pt>
                <c:pt idx="14">
                  <c:v>2.139999999999997</c:v>
                </c:pt>
                <c:pt idx="15">
                  <c:v>2.1499999999999968</c:v>
                </c:pt>
                <c:pt idx="16">
                  <c:v>2.1599999999999966</c:v>
                </c:pt>
                <c:pt idx="17">
                  <c:v>2.1699999999999964</c:v>
                </c:pt>
                <c:pt idx="18">
                  <c:v>2.1799999999999962</c:v>
                </c:pt>
                <c:pt idx="19">
                  <c:v>2.1899999999999959</c:v>
                </c:pt>
                <c:pt idx="20">
                  <c:v>2.1999999999999957</c:v>
                </c:pt>
                <c:pt idx="21">
                  <c:v>2.2099999999999955</c:v>
                </c:pt>
                <c:pt idx="22">
                  <c:v>2.2199999999999953</c:v>
                </c:pt>
                <c:pt idx="23">
                  <c:v>2.2299999999999951</c:v>
                </c:pt>
                <c:pt idx="24">
                  <c:v>2.2399999999999949</c:v>
                </c:pt>
                <c:pt idx="25">
                  <c:v>2.2499999999999947</c:v>
                </c:pt>
                <c:pt idx="26">
                  <c:v>2.2599999999999945</c:v>
                </c:pt>
                <c:pt idx="27">
                  <c:v>2.2699999999999942</c:v>
                </c:pt>
                <c:pt idx="28">
                  <c:v>2.279999999999994</c:v>
                </c:pt>
                <c:pt idx="29">
                  <c:v>2.2899999999999938</c:v>
                </c:pt>
                <c:pt idx="30">
                  <c:v>2.2999999999999936</c:v>
                </c:pt>
                <c:pt idx="31">
                  <c:v>2.3099999999999934</c:v>
                </c:pt>
                <c:pt idx="32">
                  <c:v>2.3199999999999932</c:v>
                </c:pt>
                <c:pt idx="33">
                  <c:v>2.329999999999993</c:v>
                </c:pt>
                <c:pt idx="34">
                  <c:v>2.3399999999999928</c:v>
                </c:pt>
                <c:pt idx="35">
                  <c:v>2.3499999999999925</c:v>
                </c:pt>
                <c:pt idx="36">
                  <c:v>2.3599999999999923</c:v>
                </c:pt>
                <c:pt idx="37">
                  <c:v>2.3699999999999921</c:v>
                </c:pt>
                <c:pt idx="38">
                  <c:v>2.3799999999999919</c:v>
                </c:pt>
                <c:pt idx="39">
                  <c:v>2.3899999999999917</c:v>
                </c:pt>
                <c:pt idx="40">
                  <c:v>2.3999999999999915</c:v>
                </c:pt>
                <c:pt idx="41">
                  <c:v>2.4099999999999913</c:v>
                </c:pt>
                <c:pt idx="42">
                  <c:v>2.419999999999991</c:v>
                </c:pt>
                <c:pt idx="43">
                  <c:v>2.4299999999999908</c:v>
                </c:pt>
                <c:pt idx="44">
                  <c:v>2.4399999999999906</c:v>
                </c:pt>
                <c:pt idx="45">
                  <c:v>2.4499999999999904</c:v>
                </c:pt>
                <c:pt idx="46">
                  <c:v>2.4599999999999902</c:v>
                </c:pt>
                <c:pt idx="47">
                  <c:v>2.46999999999999</c:v>
                </c:pt>
                <c:pt idx="48">
                  <c:v>2.4799999999999898</c:v>
                </c:pt>
                <c:pt idx="49">
                  <c:v>2.4899999999999896</c:v>
                </c:pt>
                <c:pt idx="50">
                  <c:v>2.4999999999999893</c:v>
                </c:pt>
                <c:pt idx="51">
                  <c:v>2.5099999999999891</c:v>
                </c:pt>
                <c:pt idx="52">
                  <c:v>2.5199999999999889</c:v>
                </c:pt>
                <c:pt idx="53">
                  <c:v>2.5299999999999887</c:v>
                </c:pt>
                <c:pt idx="54">
                  <c:v>2.5399999999999885</c:v>
                </c:pt>
                <c:pt idx="55">
                  <c:v>2.5499999999999883</c:v>
                </c:pt>
                <c:pt idx="56">
                  <c:v>2.5599999999999881</c:v>
                </c:pt>
                <c:pt idx="57">
                  <c:v>2.5699999999999878</c:v>
                </c:pt>
                <c:pt idx="58">
                  <c:v>2.5799999999999876</c:v>
                </c:pt>
                <c:pt idx="59">
                  <c:v>2.5899999999999874</c:v>
                </c:pt>
                <c:pt idx="60">
                  <c:v>2.5999999999999872</c:v>
                </c:pt>
                <c:pt idx="61">
                  <c:v>2.609999999999987</c:v>
                </c:pt>
                <c:pt idx="62">
                  <c:v>2.6199999999999868</c:v>
                </c:pt>
                <c:pt idx="63">
                  <c:v>2.6299999999999866</c:v>
                </c:pt>
                <c:pt idx="64">
                  <c:v>2.6399999999999864</c:v>
                </c:pt>
                <c:pt idx="65">
                  <c:v>2.6499999999999861</c:v>
                </c:pt>
                <c:pt idx="66">
                  <c:v>2.6599999999999859</c:v>
                </c:pt>
                <c:pt idx="67">
                  <c:v>2.6699999999999857</c:v>
                </c:pt>
                <c:pt idx="68">
                  <c:v>2.6799999999999855</c:v>
                </c:pt>
                <c:pt idx="69">
                  <c:v>2.6899999999999853</c:v>
                </c:pt>
                <c:pt idx="70">
                  <c:v>2.6999999999999851</c:v>
                </c:pt>
                <c:pt idx="71">
                  <c:v>2.7099999999999849</c:v>
                </c:pt>
                <c:pt idx="72">
                  <c:v>2.7199999999999847</c:v>
                </c:pt>
                <c:pt idx="73">
                  <c:v>2.7299999999999844</c:v>
                </c:pt>
                <c:pt idx="74">
                  <c:v>2.7399999999999842</c:v>
                </c:pt>
                <c:pt idx="75">
                  <c:v>2.749999999999984</c:v>
                </c:pt>
                <c:pt idx="76">
                  <c:v>2.7599999999999838</c:v>
                </c:pt>
                <c:pt idx="77">
                  <c:v>2.7699999999999836</c:v>
                </c:pt>
                <c:pt idx="78">
                  <c:v>2.7799999999999834</c:v>
                </c:pt>
                <c:pt idx="79">
                  <c:v>2.7899999999999832</c:v>
                </c:pt>
                <c:pt idx="80">
                  <c:v>2.7999999999999829</c:v>
                </c:pt>
                <c:pt idx="81">
                  <c:v>2.8099999999999827</c:v>
                </c:pt>
                <c:pt idx="82">
                  <c:v>2.8199999999999825</c:v>
                </c:pt>
                <c:pt idx="83">
                  <c:v>2.8299999999999823</c:v>
                </c:pt>
                <c:pt idx="84">
                  <c:v>2.8399999999999821</c:v>
                </c:pt>
                <c:pt idx="85">
                  <c:v>2.8499999999999819</c:v>
                </c:pt>
                <c:pt idx="86">
                  <c:v>2.8599999999999817</c:v>
                </c:pt>
                <c:pt idx="87">
                  <c:v>2.8699999999999815</c:v>
                </c:pt>
                <c:pt idx="88">
                  <c:v>2.8799999999999812</c:v>
                </c:pt>
                <c:pt idx="89">
                  <c:v>2.889999999999981</c:v>
                </c:pt>
                <c:pt idx="90">
                  <c:v>2.8999999999999808</c:v>
                </c:pt>
                <c:pt idx="91">
                  <c:v>2.9099999999999806</c:v>
                </c:pt>
                <c:pt idx="92">
                  <c:v>2.9199999999999804</c:v>
                </c:pt>
                <c:pt idx="93">
                  <c:v>2.9299999999999802</c:v>
                </c:pt>
                <c:pt idx="94">
                  <c:v>2.93999999999998</c:v>
                </c:pt>
                <c:pt idx="95">
                  <c:v>2.9499999999999797</c:v>
                </c:pt>
                <c:pt idx="96">
                  <c:v>2.9599999999999795</c:v>
                </c:pt>
                <c:pt idx="97">
                  <c:v>2.9699999999999793</c:v>
                </c:pt>
                <c:pt idx="98">
                  <c:v>2.9799999999999791</c:v>
                </c:pt>
                <c:pt idx="99">
                  <c:v>2.9899999999999789</c:v>
                </c:pt>
                <c:pt idx="100">
                  <c:v>2.9999999999999787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BA0-47ED-8182-B3F0744999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479104"/>
        <c:axId val="52468736"/>
      </c:scatterChart>
      <c:valAx>
        <c:axId val="52443776"/>
        <c:scaling>
          <c:orientation val="minMax"/>
          <c:min val="0"/>
        </c:scaling>
        <c:delete val="0"/>
        <c:axPos val="r"/>
        <c:title>
          <c:tx>
            <c:rich>
              <a:bodyPr rot="-5400000" vert="horz"/>
              <a:lstStyle/>
              <a:p>
                <a:pPr>
                  <a:defRPr>
                    <a:solidFill>
                      <a:schemeClr val="accent3"/>
                    </a:solidFill>
                  </a:defRPr>
                </a:pPr>
                <a:r>
                  <a:rPr lang="en-US">
                    <a:solidFill>
                      <a:schemeClr val="accent3"/>
                    </a:solidFill>
                  </a:rPr>
                  <a:t>Speed (rad/s)</a:t>
                </a:r>
              </a:p>
            </c:rich>
          </c:tx>
          <c:layout>
            <c:manualLayout>
              <c:xMode val="edge"/>
              <c:yMode val="edge"/>
              <c:x val="0.96652090250001166"/>
              <c:y val="0.46388024980992842"/>
            </c:manualLayout>
          </c:layout>
          <c:overlay val="0"/>
        </c:title>
        <c:numFmt formatCode="_(* #,##0.0_);_(* \(#,##0.0\);_(* &quot;-&quot;??_);_(@_)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chemeClr val="accent3"/>
                </a:solidFill>
              </a:defRPr>
            </a:pPr>
            <a:endParaRPr lang="en-US"/>
          </a:p>
        </c:txPr>
        <c:crossAx val="52466816"/>
        <c:crosses val="max"/>
        <c:crossBetween val="midCat"/>
      </c:valAx>
      <c:valAx>
        <c:axId val="524668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Motor Torque (Nm)</a:t>
                </a:r>
              </a:p>
            </c:rich>
          </c:tx>
          <c:overlay val="0"/>
        </c:title>
        <c:numFmt formatCode="_(* #,##0.0000_);_(* \(#,##0.0000\);_(* &quot;-&quot;??_);_(@_)" sourceLinked="1"/>
        <c:majorTickMark val="out"/>
        <c:minorTickMark val="none"/>
        <c:tickLblPos val="nextTo"/>
        <c:crossAx val="52443776"/>
        <c:crosses val="autoZero"/>
        <c:crossBetween val="midCat"/>
      </c:valAx>
      <c:valAx>
        <c:axId val="52468736"/>
        <c:scaling>
          <c:orientation val="minMax"/>
          <c:min val="0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>
                    <a:solidFill>
                      <a:srgbClr val="7030A0"/>
                    </a:solidFill>
                  </a:defRPr>
                </a:pPr>
                <a:r>
                  <a:rPr lang="en-US">
                    <a:solidFill>
                      <a:srgbClr val="7030A0"/>
                    </a:solidFill>
                  </a:rPr>
                  <a:t>Current (A)</a:t>
                </a:r>
              </a:p>
            </c:rich>
          </c:tx>
          <c:layout>
            <c:manualLayout>
              <c:xMode val="edge"/>
              <c:yMode val="edge"/>
              <c:x val="0"/>
              <c:y val="0.46868667062393177"/>
            </c:manualLayout>
          </c:layout>
          <c:overlay val="0"/>
        </c:title>
        <c:numFmt formatCode="_(* #,##0.000_);_(* \(#,##0.000\);_(* &quot;-&quot;??_);_(@_)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7030A0"/>
                </a:solidFill>
              </a:defRPr>
            </a:pPr>
            <a:endParaRPr lang="en-US"/>
          </a:p>
        </c:txPr>
        <c:crossAx val="52479104"/>
        <c:crosses val="autoZero"/>
        <c:crossBetween val="midCat"/>
      </c:valAx>
      <c:valAx>
        <c:axId val="52479104"/>
        <c:scaling>
          <c:orientation val="minMax"/>
        </c:scaling>
        <c:delete val="1"/>
        <c:axPos val="b"/>
        <c:numFmt formatCode="_(* #,##0.0000_);_(* \(#,##0.0000\);_(* &quot;-&quot;??_);_(@_)" sourceLinked="1"/>
        <c:majorTickMark val="out"/>
        <c:minorTickMark val="none"/>
        <c:tickLblPos val="nextTo"/>
        <c:crossAx val="52468736"/>
        <c:crossesAt val="0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433386</xdr:colOff>
      <xdr:row>4</xdr:row>
      <xdr:rowOff>171450</xdr:rowOff>
    </xdr:from>
    <xdr:to>
      <xdr:col>18</xdr:col>
      <xdr:colOff>14197</xdr:colOff>
      <xdr:row>29</xdr:row>
      <xdr:rowOff>170385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B48547F-4C2E-4D2F-897C-9CBB0AFA25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506424</xdr:colOff>
      <xdr:row>30</xdr:row>
      <xdr:rowOff>94660</xdr:rowOff>
    </xdr:from>
    <xdr:to>
      <xdr:col>18</xdr:col>
      <xdr:colOff>80460</xdr:colOff>
      <xdr:row>54</xdr:row>
      <xdr:rowOff>23666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ACD9334-2CD0-4FC0-914E-90C260E447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78DF3-2AFC-45E4-9D88-C67AEB8E7B56}">
  <dimension ref="A1:G111"/>
  <sheetViews>
    <sheetView tabSelected="1" workbookViewId="0">
      <selection activeCell="C8" sqref="C8"/>
    </sheetView>
  </sheetViews>
  <sheetFormatPr defaultColWidth="9.140625" defaultRowHeight="15"/>
  <cols>
    <col min="1" max="1" width="31.5703125" style="8" customWidth="1"/>
    <col min="2" max="2" width="12.140625" style="2" bestFit="1" customWidth="1"/>
    <col min="3" max="3" width="12.140625" style="3" bestFit="1" customWidth="1"/>
    <col min="4" max="4" width="8" style="3" bestFit="1" customWidth="1"/>
    <col min="5" max="5" width="8" style="4" bestFit="1" customWidth="1"/>
    <col min="6" max="6" width="10.28515625" style="3" bestFit="1" customWidth="1"/>
    <col min="7" max="7" width="13.140625" style="5" bestFit="1" customWidth="1"/>
    <col min="8" max="16384" width="9.140625" style="6"/>
  </cols>
  <sheetData>
    <row r="1" spans="1:7" ht="27.75">
      <c r="A1" s="1" t="s">
        <v>0</v>
      </c>
    </row>
    <row r="2" spans="1:7">
      <c r="A2" s="7" t="s">
        <v>1</v>
      </c>
    </row>
    <row r="3" spans="1:7">
      <c r="A3" s="7"/>
    </row>
    <row r="4" spans="1:7">
      <c r="B4" s="9">
        <v>1</v>
      </c>
      <c r="C4" s="10" t="s">
        <v>2</v>
      </c>
    </row>
    <row r="5" spans="1:7">
      <c r="B5" s="11">
        <v>2</v>
      </c>
      <c r="C5" s="10" t="s">
        <v>3</v>
      </c>
    </row>
    <row r="6" spans="1:7">
      <c r="B6" s="11">
        <v>3</v>
      </c>
      <c r="C6" s="10" t="s">
        <v>4</v>
      </c>
    </row>
    <row r="7" spans="1:7">
      <c r="B7" s="9">
        <v>4</v>
      </c>
      <c r="C7" s="10" t="s">
        <v>5</v>
      </c>
    </row>
    <row r="8" spans="1:7">
      <c r="B8" s="9">
        <v>2</v>
      </c>
      <c r="C8" s="10" t="s">
        <v>6</v>
      </c>
    </row>
    <row r="10" spans="1:7">
      <c r="A10" s="8" t="s">
        <v>7</v>
      </c>
      <c r="B10" s="2" t="s">
        <v>8</v>
      </c>
      <c r="C10" s="3" t="s">
        <v>9</v>
      </c>
      <c r="D10" s="3" t="s">
        <v>10</v>
      </c>
      <c r="E10" s="4" t="s">
        <v>11</v>
      </c>
      <c r="F10" s="3" t="s">
        <v>12</v>
      </c>
      <c r="G10" s="5" t="s">
        <v>13</v>
      </c>
    </row>
    <row r="11" spans="1:7">
      <c r="A11" s="8">
        <v>0</v>
      </c>
      <c r="B11" s="2">
        <f>B7</f>
        <v>4</v>
      </c>
      <c r="C11" s="3">
        <f>B11*A11</f>
        <v>0</v>
      </c>
      <c r="D11" s="3">
        <f>B4</f>
        <v>1</v>
      </c>
      <c r="E11" s="4">
        <f>B5</f>
        <v>2</v>
      </c>
      <c r="F11" s="3">
        <f>D11*E11</f>
        <v>2</v>
      </c>
      <c r="G11" s="5">
        <f>C11/F11*100</f>
        <v>0</v>
      </c>
    </row>
    <row r="12" spans="1:7">
      <c r="A12" s="8">
        <f>A11+B$8/100</f>
        <v>0.02</v>
      </c>
      <c r="B12" s="2">
        <f>B11-B$7/100</f>
        <v>3.96</v>
      </c>
      <c r="C12" s="3">
        <f>B12*A12</f>
        <v>7.9200000000000007E-2</v>
      </c>
      <c r="D12" s="3">
        <f>D11</f>
        <v>1</v>
      </c>
      <c r="E12" s="4">
        <f>E11+(B$6-B$5)/100</f>
        <v>2.0099999999999998</v>
      </c>
      <c r="F12" s="3">
        <f>D12*E12</f>
        <v>2.0099999999999998</v>
      </c>
      <c r="G12" s="5">
        <f t="shared" ref="G12:G75" si="0">C12/F12*100</f>
        <v>3.9402985074626877</v>
      </c>
    </row>
    <row r="13" spans="1:7">
      <c r="A13" s="8">
        <f t="shared" ref="A13:A76" si="1">A12+B$8/100</f>
        <v>0.04</v>
      </c>
      <c r="B13" s="2">
        <f t="shared" ref="B13:B76" si="2">B12-B$7/100</f>
        <v>3.92</v>
      </c>
      <c r="C13" s="3">
        <f t="shared" ref="C13:C76" si="3">B13*A13</f>
        <v>0.15679999999999999</v>
      </c>
      <c r="D13" s="3">
        <f t="shared" ref="D13:D76" si="4">D12</f>
        <v>1</v>
      </c>
      <c r="E13" s="4">
        <f t="shared" ref="E13:E76" si="5">E12+(B$6-B$5)/100</f>
        <v>2.0199999999999996</v>
      </c>
      <c r="F13" s="3">
        <f t="shared" ref="F13:F76" si="6">D13*E13</f>
        <v>2.0199999999999996</v>
      </c>
      <c r="G13" s="5">
        <f t="shared" si="0"/>
        <v>7.7623762376237639</v>
      </c>
    </row>
    <row r="14" spans="1:7">
      <c r="A14" s="8">
        <f t="shared" si="1"/>
        <v>0.06</v>
      </c>
      <c r="B14" s="2">
        <f t="shared" si="2"/>
        <v>3.88</v>
      </c>
      <c r="C14" s="3">
        <f t="shared" si="3"/>
        <v>0.23279999999999998</v>
      </c>
      <c r="D14" s="3">
        <f t="shared" si="4"/>
        <v>1</v>
      </c>
      <c r="E14" s="4">
        <f t="shared" si="5"/>
        <v>2.0299999999999994</v>
      </c>
      <c r="F14" s="3">
        <f t="shared" si="6"/>
        <v>2.0299999999999994</v>
      </c>
      <c r="G14" s="5">
        <f t="shared" si="0"/>
        <v>11.467980295566505</v>
      </c>
    </row>
    <row r="15" spans="1:7">
      <c r="A15" s="8">
        <f t="shared" si="1"/>
        <v>0.08</v>
      </c>
      <c r="B15" s="2">
        <f t="shared" si="2"/>
        <v>3.84</v>
      </c>
      <c r="C15" s="3">
        <f t="shared" si="3"/>
        <v>0.30719999999999997</v>
      </c>
      <c r="D15" s="3">
        <f t="shared" si="4"/>
        <v>1</v>
      </c>
      <c r="E15" s="4">
        <f t="shared" si="5"/>
        <v>2.0399999999999991</v>
      </c>
      <c r="F15" s="3">
        <f t="shared" si="6"/>
        <v>2.0399999999999991</v>
      </c>
      <c r="G15" s="5">
        <f t="shared" si="0"/>
        <v>15.058823529411768</v>
      </c>
    </row>
    <row r="16" spans="1:7">
      <c r="A16" s="8">
        <f t="shared" si="1"/>
        <v>0.1</v>
      </c>
      <c r="B16" s="2">
        <f t="shared" si="2"/>
        <v>3.8</v>
      </c>
      <c r="C16" s="3">
        <f t="shared" si="3"/>
        <v>0.38</v>
      </c>
      <c r="D16" s="3">
        <f t="shared" si="4"/>
        <v>1</v>
      </c>
      <c r="E16" s="4">
        <f t="shared" si="5"/>
        <v>2.0499999999999989</v>
      </c>
      <c r="F16" s="3">
        <f t="shared" si="6"/>
        <v>2.0499999999999989</v>
      </c>
      <c r="G16" s="5">
        <f t="shared" si="0"/>
        <v>18.536585365853668</v>
      </c>
    </row>
    <row r="17" spans="1:7">
      <c r="A17" s="8">
        <f t="shared" si="1"/>
        <v>0.12000000000000001</v>
      </c>
      <c r="B17" s="2">
        <f t="shared" si="2"/>
        <v>3.76</v>
      </c>
      <c r="C17" s="3">
        <f t="shared" si="3"/>
        <v>0.45119999999999999</v>
      </c>
      <c r="D17" s="3">
        <f t="shared" si="4"/>
        <v>1</v>
      </c>
      <c r="E17" s="4">
        <f t="shared" si="5"/>
        <v>2.0599999999999987</v>
      </c>
      <c r="F17" s="3">
        <f t="shared" si="6"/>
        <v>2.0599999999999987</v>
      </c>
      <c r="G17" s="5">
        <f t="shared" si="0"/>
        <v>21.902912621359235</v>
      </c>
    </row>
    <row r="18" spans="1:7">
      <c r="A18" s="8">
        <f t="shared" si="1"/>
        <v>0.14000000000000001</v>
      </c>
      <c r="B18" s="2">
        <f t="shared" si="2"/>
        <v>3.7199999999999998</v>
      </c>
      <c r="C18" s="3">
        <f t="shared" si="3"/>
        <v>0.52080000000000004</v>
      </c>
      <c r="D18" s="3">
        <f t="shared" si="4"/>
        <v>1</v>
      </c>
      <c r="E18" s="4">
        <f t="shared" si="5"/>
        <v>2.0699999999999985</v>
      </c>
      <c r="F18" s="3">
        <f t="shared" si="6"/>
        <v>2.0699999999999985</v>
      </c>
      <c r="G18" s="5">
        <f t="shared" si="0"/>
        <v>25.159420289855095</v>
      </c>
    </row>
    <row r="19" spans="1:7">
      <c r="A19" s="8">
        <f t="shared" si="1"/>
        <v>0.16</v>
      </c>
      <c r="B19" s="2">
        <f t="shared" si="2"/>
        <v>3.6799999999999997</v>
      </c>
      <c r="C19" s="3">
        <f t="shared" si="3"/>
        <v>0.58879999999999999</v>
      </c>
      <c r="D19" s="3">
        <f t="shared" si="4"/>
        <v>1</v>
      </c>
      <c r="E19" s="4">
        <f t="shared" si="5"/>
        <v>2.0799999999999983</v>
      </c>
      <c r="F19" s="3">
        <f t="shared" si="6"/>
        <v>2.0799999999999983</v>
      </c>
      <c r="G19" s="5">
        <f t="shared" si="0"/>
        <v>28.307692307692328</v>
      </c>
    </row>
    <row r="20" spans="1:7">
      <c r="A20" s="8">
        <f t="shared" si="1"/>
        <v>0.18</v>
      </c>
      <c r="B20" s="2">
        <f t="shared" si="2"/>
        <v>3.6399999999999997</v>
      </c>
      <c r="C20" s="3">
        <f t="shared" si="3"/>
        <v>0.65519999999999989</v>
      </c>
      <c r="D20" s="3">
        <f t="shared" si="4"/>
        <v>1</v>
      </c>
      <c r="E20" s="4">
        <f t="shared" si="5"/>
        <v>2.0899999999999981</v>
      </c>
      <c r="F20" s="3">
        <f t="shared" si="6"/>
        <v>2.0899999999999981</v>
      </c>
      <c r="G20" s="5">
        <f t="shared" si="0"/>
        <v>31.349282296650742</v>
      </c>
    </row>
    <row r="21" spans="1:7">
      <c r="A21" s="8">
        <f t="shared" si="1"/>
        <v>0.19999999999999998</v>
      </c>
      <c r="B21" s="2">
        <f t="shared" si="2"/>
        <v>3.5999999999999996</v>
      </c>
      <c r="C21" s="3">
        <f t="shared" si="3"/>
        <v>0.71999999999999986</v>
      </c>
      <c r="D21" s="3">
        <f t="shared" si="4"/>
        <v>1</v>
      </c>
      <c r="E21" s="4">
        <f t="shared" si="5"/>
        <v>2.0999999999999979</v>
      </c>
      <c r="F21" s="3">
        <f t="shared" si="6"/>
        <v>2.0999999999999979</v>
      </c>
      <c r="G21" s="5">
        <f t="shared" si="0"/>
        <v>34.285714285714313</v>
      </c>
    </row>
    <row r="22" spans="1:7">
      <c r="A22" s="8">
        <f t="shared" si="1"/>
        <v>0.21999999999999997</v>
      </c>
      <c r="B22" s="2">
        <f t="shared" si="2"/>
        <v>3.5599999999999996</v>
      </c>
      <c r="C22" s="3">
        <f t="shared" si="3"/>
        <v>0.78319999999999979</v>
      </c>
      <c r="D22" s="3">
        <f t="shared" si="4"/>
        <v>1</v>
      </c>
      <c r="E22" s="4">
        <f t="shared" si="5"/>
        <v>2.1099999999999977</v>
      </c>
      <c r="F22" s="3">
        <f t="shared" si="6"/>
        <v>2.1099999999999977</v>
      </c>
      <c r="G22" s="5">
        <f t="shared" si="0"/>
        <v>37.118483412322306</v>
      </c>
    </row>
    <row r="23" spans="1:7">
      <c r="A23" s="8">
        <f t="shared" si="1"/>
        <v>0.23999999999999996</v>
      </c>
      <c r="B23" s="2">
        <f t="shared" si="2"/>
        <v>3.5199999999999996</v>
      </c>
      <c r="C23" s="3">
        <f t="shared" si="3"/>
        <v>0.84479999999999977</v>
      </c>
      <c r="D23" s="3">
        <f t="shared" si="4"/>
        <v>1</v>
      </c>
      <c r="E23" s="4">
        <f t="shared" si="5"/>
        <v>2.1199999999999974</v>
      </c>
      <c r="F23" s="3">
        <f t="shared" si="6"/>
        <v>2.1199999999999974</v>
      </c>
      <c r="G23" s="5">
        <f t="shared" si="0"/>
        <v>39.849056603773626</v>
      </c>
    </row>
    <row r="24" spans="1:7">
      <c r="A24" s="8">
        <f t="shared" si="1"/>
        <v>0.25999999999999995</v>
      </c>
      <c r="B24" s="2">
        <f t="shared" si="2"/>
        <v>3.4799999999999995</v>
      </c>
      <c r="C24" s="3">
        <f t="shared" si="3"/>
        <v>0.90479999999999972</v>
      </c>
      <c r="D24" s="3">
        <f t="shared" si="4"/>
        <v>1</v>
      </c>
      <c r="E24" s="4">
        <f t="shared" si="5"/>
        <v>2.1299999999999972</v>
      </c>
      <c r="F24" s="3">
        <f t="shared" si="6"/>
        <v>2.1299999999999972</v>
      </c>
      <c r="G24" s="5">
        <f t="shared" si="0"/>
        <v>42.478873239436659</v>
      </c>
    </row>
    <row r="25" spans="1:7">
      <c r="A25" s="8">
        <f t="shared" si="1"/>
        <v>0.27999999999999997</v>
      </c>
      <c r="B25" s="2">
        <f t="shared" si="2"/>
        <v>3.4399999999999995</v>
      </c>
      <c r="C25" s="3">
        <f t="shared" si="3"/>
        <v>0.96319999999999972</v>
      </c>
      <c r="D25" s="3">
        <f t="shared" si="4"/>
        <v>1</v>
      </c>
      <c r="E25" s="4">
        <f t="shared" si="5"/>
        <v>2.139999999999997</v>
      </c>
      <c r="F25" s="3">
        <f t="shared" si="6"/>
        <v>2.139999999999997</v>
      </c>
      <c r="G25" s="5">
        <f t="shared" si="0"/>
        <v>45.009345794392573</v>
      </c>
    </row>
    <row r="26" spans="1:7">
      <c r="A26" s="8">
        <f t="shared" si="1"/>
        <v>0.3</v>
      </c>
      <c r="B26" s="2">
        <f t="shared" si="2"/>
        <v>3.3999999999999995</v>
      </c>
      <c r="C26" s="3">
        <f t="shared" si="3"/>
        <v>1.0199999999999998</v>
      </c>
      <c r="D26" s="3">
        <f t="shared" si="4"/>
        <v>1</v>
      </c>
      <c r="E26" s="4">
        <f t="shared" si="5"/>
        <v>2.1499999999999968</v>
      </c>
      <c r="F26" s="3">
        <f t="shared" si="6"/>
        <v>2.1499999999999968</v>
      </c>
      <c r="G26" s="5">
        <f t="shared" si="0"/>
        <v>47.441860465116342</v>
      </c>
    </row>
    <row r="27" spans="1:7">
      <c r="A27" s="8">
        <f t="shared" si="1"/>
        <v>0.32</v>
      </c>
      <c r="B27" s="2">
        <f t="shared" si="2"/>
        <v>3.3599999999999994</v>
      </c>
      <c r="C27" s="3">
        <f t="shared" si="3"/>
        <v>1.0751999999999999</v>
      </c>
      <c r="D27" s="3">
        <f t="shared" si="4"/>
        <v>1</v>
      </c>
      <c r="E27" s="4">
        <f t="shared" si="5"/>
        <v>2.1599999999999966</v>
      </c>
      <c r="F27" s="3">
        <f t="shared" si="6"/>
        <v>2.1599999999999966</v>
      </c>
      <c r="G27" s="5">
        <f t="shared" si="0"/>
        <v>49.777777777777857</v>
      </c>
    </row>
    <row r="28" spans="1:7">
      <c r="A28" s="8">
        <f t="shared" si="1"/>
        <v>0.34</v>
      </c>
      <c r="B28" s="2">
        <f t="shared" si="2"/>
        <v>3.3199999999999994</v>
      </c>
      <c r="C28" s="3">
        <f t="shared" si="3"/>
        <v>1.1287999999999998</v>
      </c>
      <c r="D28" s="3">
        <f t="shared" si="4"/>
        <v>1</v>
      </c>
      <c r="E28" s="4">
        <f t="shared" si="5"/>
        <v>2.1699999999999964</v>
      </c>
      <c r="F28" s="3">
        <f t="shared" si="6"/>
        <v>2.1699999999999964</v>
      </c>
      <c r="G28" s="5">
        <f t="shared" si="0"/>
        <v>52.01843317972358</v>
      </c>
    </row>
    <row r="29" spans="1:7">
      <c r="A29" s="8">
        <f t="shared" si="1"/>
        <v>0.36000000000000004</v>
      </c>
      <c r="B29" s="2">
        <f t="shared" si="2"/>
        <v>3.2799999999999994</v>
      </c>
      <c r="C29" s="3">
        <f t="shared" si="3"/>
        <v>1.1807999999999998</v>
      </c>
      <c r="D29" s="3">
        <f t="shared" si="4"/>
        <v>1</v>
      </c>
      <c r="E29" s="4">
        <f t="shared" si="5"/>
        <v>2.1799999999999962</v>
      </c>
      <c r="F29" s="3">
        <f t="shared" si="6"/>
        <v>2.1799999999999962</v>
      </c>
      <c r="G29" s="5">
        <f t="shared" si="0"/>
        <v>54.165137614678983</v>
      </c>
    </row>
    <row r="30" spans="1:7">
      <c r="A30" s="8">
        <f t="shared" si="1"/>
        <v>0.38000000000000006</v>
      </c>
      <c r="B30" s="2">
        <f t="shared" si="2"/>
        <v>3.2399999999999993</v>
      </c>
      <c r="C30" s="3">
        <f t="shared" si="3"/>
        <v>1.2311999999999999</v>
      </c>
      <c r="D30" s="3">
        <f t="shared" si="4"/>
        <v>1</v>
      </c>
      <c r="E30" s="4">
        <f t="shared" si="5"/>
        <v>2.1899999999999959</v>
      </c>
      <c r="F30" s="3">
        <f t="shared" si="6"/>
        <v>2.1899999999999959</v>
      </c>
      <c r="G30" s="5">
        <f t="shared" si="0"/>
        <v>56.219178082191881</v>
      </c>
    </row>
    <row r="31" spans="1:7">
      <c r="A31" s="8">
        <f t="shared" si="1"/>
        <v>0.40000000000000008</v>
      </c>
      <c r="B31" s="2">
        <f t="shared" si="2"/>
        <v>3.1999999999999993</v>
      </c>
      <c r="C31" s="3">
        <f t="shared" si="3"/>
        <v>1.28</v>
      </c>
      <c r="D31" s="3">
        <f t="shared" si="4"/>
        <v>1</v>
      </c>
      <c r="E31" s="4">
        <f t="shared" si="5"/>
        <v>2.1999999999999957</v>
      </c>
      <c r="F31" s="3">
        <f t="shared" si="6"/>
        <v>2.1999999999999957</v>
      </c>
      <c r="G31" s="5">
        <f t="shared" si="0"/>
        <v>58.181818181818301</v>
      </c>
    </row>
    <row r="32" spans="1:7">
      <c r="A32" s="8">
        <f t="shared" si="1"/>
        <v>0.4200000000000001</v>
      </c>
      <c r="B32" s="2">
        <f t="shared" si="2"/>
        <v>3.1599999999999993</v>
      </c>
      <c r="C32" s="3">
        <f t="shared" si="3"/>
        <v>1.3271999999999999</v>
      </c>
      <c r="D32" s="3">
        <f t="shared" si="4"/>
        <v>1</v>
      </c>
      <c r="E32" s="4">
        <f t="shared" si="5"/>
        <v>2.2099999999999955</v>
      </c>
      <c r="F32" s="3">
        <f t="shared" si="6"/>
        <v>2.2099999999999955</v>
      </c>
      <c r="G32" s="5">
        <f t="shared" si="0"/>
        <v>60.054298642534057</v>
      </c>
    </row>
    <row r="33" spans="1:7">
      <c r="A33" s="8">
        <f t="shared" si="1"/>
        <v>0.44000000000000011</v>
      </c>
      <c r="B33" s="2">
        <f t="shared" si="2"/>
        <v>3.1199999999999992</v>
      </c>
      <c r="C33" s="3">
        <f t="shared" si="3"/>
        <v>1.3728</v>
      </c>
      <c r="D33" s="3">
        <f t="shared" si="4"/>
        <v>1</v>
      </c>
      <c r="E33" s="4">
        <f t="shared" si="5"/>
        <v>2.2199999999999953</v>
      </c>
      <c r="F33" s="3">
        <f t="shared" si="6"/>
        <v>2.2199999999999953</v>
      </c>
      <c r="G33" s="5">
        <f t="shared" si="0"/>
        <v>61.837837837837974</v>
      </c>
    </row>
    <row r="34" spans="1:7">
      <c r="A34" s="8">
        <f t="shared" si="1"/>
        <v>0.46000000000000013</v>
      </c>
      <c r="B34" s="2">
        <f t="shared" si="2"/>
        <v>3.0799999999999992</v>
      </c>
      <c r="C34" s="3">
        <f t="shared" si="3"/>
        <v>1.4168000000000001</v>
      </c>
      <c r="D34" s="3">
        <f t="shared" si="4"/>
        <v>1</v>
      </c>
      <c r="E34" s="4">
        <f t="shared" si="5"/>
        <v>2.2299999999999951</v>
      </c>
      <c r="F34" s="3">
        <f t="shared" si="6"/>
        <v>2.2299999999999951</v>
      </c>
      <c r="G34" s="5">
        <f t="shared" si="0"/>
        <v>63.533632286995655</v>
      </c>
    </row>
    <row r="35" spans="1:7">
      <c r="A35" s="8">
        <f t="shared" si="1"/>
        <v>0.48000000000000015</v>
      </c>
      <c r="B35" s="2">
        <f t="shared" si="2"/>
        <v>3.0399999999999991</v>
      </c>
      <c r="C35" s="3">
        <f t="shared" si="3"/>
        <v>1.4592000000000001</v>
      </c>
      <c r="D35" s="3">
        <f t="shared" si="4"/>
        <v>1</v>
      </c>
      <c r="E35" s="4">
        <f t="shared" si="5"/>
        <v>2.2399999999999949</v>
      </c>
      <c r="F35" s="3">
        <f t="shared" si="6"/>
        <v>2.2399999999999949</v>
      </c>
      <c r="G35" s="5">
        <f t="shared" si="0"/>
        <v>65.142857142857295</v>
      </c>
    </row>
    <row r="36" spans="1:7">
      <c r="A36" s="8">
        <f t="shared" si="1"/>
        <v>0.50000000000000011</v>
      </c>
      <c r="B36" s="2">
        <f t="shared" si="2"/>
        <v>2.9999999999999991</v>
      </c>
      <c r="C36" s="3">
        <f t="shared" si="3"/>
        <v>1.5</v>
      </c>
      <c r="D36" s="3">
        <f t="shared" si="4"/>
        <v>1</v>
      </c>
      <c r="E36" s="4">
        <f t="shared" si="5"/>
        <v>2.2499999999999947</v>
      </c>
      <c r="F36" s="3">
        <f t="shared" si="6"/>
        <v>2.2499999999999947</v>
      </c>
      <c r="G36" s="5">
        <f t="shared" si="0"/>
        <v>66.666666666666828</v>
      </c>
    </row>
    <row r="37" spans="1:7">
      <c r="A37" s="8">
        <f t="shared" si="1"/>
        <v>0.52000000000000013</v>
      </c>
      <c r="B37" s="2">
        <f t="shared" si="2"/>
        <v>2.9599999999999991</v>
      </c>
      <c r="C37" s="3">
        <f t="shared" si="3"/>
        <v>1.5391999999999999</v>
      </c>
      <c r="D37" s="3">
        <f t="shared" si="4"/>
        <v>1</v>
      </c>
      <c r="E37" s="4">
        <f t="shared" si="5"/>
        <v>2.2599999999999945</v>
      </c>
      <c r="F37" s="3">
        <f t="shared" si="6"/>
        <v>2.2599999999999945</v>
      </c>
      <c r="G37" s="5">
        <f t="shared" si="0"/>
        <v>68.106194690265653</v>
      </c>
    </row>
    <row r="38" spans="1:7">
      <c r="A38" s="8">
        <f t="shared" si="1"/>
        <v>0.54000000000000015</v>
      </c>
      <c r="B38" s="2">
        <f t="shared" si="2"/>
        <v>2.919999999999999</v>
      </c>
      <c r="C38" s="3">
        <f t="shared" si="3"/>
        <v>1.5768</v>
      </c>
      <c r="D38" s="3">
        <f t="shared" si="4"/>
        <v>1</v>
      </c>
      <c r="E38" s="4">
        <f t="shared" si="5"/>
        <v>2.2699999999999942</v>
      </c>
      <c r="F38" s="3">
        <f t="shared" si="6"/>
        <v>2.2699999999999942</v>
      </c>
      <c r="G38" s="5">
        <f t="shared" si="0"/>
        <v>69.462555066079474</v>
      </c>
    </row>
    <row r="39" spans="1:7">
      <c r="A39" s="8">
        <f t="shared" si="1"/>
        <v>0.56000000000000016</v>
      </c>
      <c r="B39" s="2">
        <f t="shared" si="2"/>
        <v>2.879999999999999</v>
      </c>
      <c r="C39" s="3">
        <f t="shared" si="3"/>
        <v>1.6128</v>
      </c>
      <c r="D39" s="3">
        <f t="shared" si="4"/>
        <v>1</v>
      </c>
      <c r="E39" s="4">
        <f t="shared" si="5"/>
        <v>2.279999999999994</v>
      </c>
      <c r="F39" s="3">
        <f t="shared" si="6"/>
        <v>2.279999999999994</v>
      </c>
      <c r="G39" s="5">
        <f t="shared" si="0"/>
        <v>70.736842105263349</v>
      </c>
    </row>
    <row r="40" spans="1:7">
      <c r="A40" s="8">
        <f t="shared" si="1"/>
        <v>0.58000000000000018</v>
      </c>
      <c r="B40" s="2">
        <f t="shared" si="2"/>
        <v>2.839999999999999</v>
      </c>
      <c r="C40" s="3">
        <f t="shared" si="3"/>
        <v>1.6472</v>
      </c>
      <c r="D40" s="3">
        <f t="shared" si="4"/>
        <v>1</v>
      </c>
      <c r="E40" s="4">
        <f t="shared" si="5"/>
        <v>2.2899999999999938</v>
      </c>
      <c r="F40" s="3">
        <f t="shared" si="6"/>
        <v>2.2899999999999938</v>
      </c>
      <c r="G40" s="5">
        <f t="shared" si="0"/>
        <v>71.930131004366999</v>
      </c>
    </row>
    <row r="41" spans="1:7">
      <c r="A41" s="8">
        <f t="shared" si="1"/>
        <v>0.6000000000000002</v>
      </c>
      <c r="B41" s="2">
        <f t="shared" si="2"/>
        <v>2.7999999999999989</v>
      </c>
      <c r="C41" s="3">
        <f t="shared" si="3"/>
        <v>1.68</v>
      </c>
      <c r="D41" s="3">
        <f t="shared" si="4"/>
        <v>1</v>
      </c>
      <c r="E41" s="4">
        <f t="shared" si="5"/>
        <v>2.2999999999999936</v>
      </c>
      <c r="F41" s="3">
        <f t="shared" si="6"/>
        <v>2.2999999999999936</v>
      </c>
      <c r="G41" s="5">
        <f t="shared" si="0"/>
        <v>73.043478260869762</v>
      </c>
    </row>
    <row r="42" spans="1:7">
      <c r="A42" s="8">
        <f t="shared" si="1"/>
        <v>0.62000000000000022</v>
      </c>
      <c r="B42" s="2">
        <f t="shared" si="2"/>
        <v>2.7599999999999989</v>
      </c>
      <c r="C42" s="3">
        <f t="shared" si="3"/>
        <v>1.7111999999999998</v>
      </c>
      <c r="D42" s="3">
        <f t="shared" si="4"/>
        <v>1</v>
      </c>
      <c r="E42" s="4">
        <f t="shared" si="5"/>
        <v>2.3099999999999934</v>
      </c>
      <c r="F42" s="3">
        <f t="shared" si="6"/>
        <v>2.3099999999999934</v>
      </c>
      <c r="G42" s="5">
        <f t="shared" si="0"/>
        <v>74.077922077922281</v>
      </c>
    </row>
    <row r="43" spans="1:7">
      <c r="A43" s="8">
        <f t="shared" si="1"/>
        <v>0.64000000000000024</v>
      </c>
      <c r="B43" s="2">
        <f t="shared" si="2"/>
        <v>2.7199999999999989</v>
      </c>
      <c r="C43" s="3">
        <f t="shared" si="3"/>
        <v>1.7407999999999999</v>
      </c>
      <c r="D43" s="3">
        <f t="shared" si="4"/>
        <v>1</v>
      </c>
      <c r="E43" s="4">
        <f t="shared" si="5"/>
        <v>2.3199999999999932</v>
      </c>
      <c r="F43" s="3">
        <f t="shared" si="6"/>
        <v>2.3199999999999932</v>
      </c>
      <c r="G43" s="5">
        <f t="shared" si="0"/>
        <v>75.034482758620896</v>
      </c>
    </row>
    <row r="44" spans="1:7">
      <c r="A44" s="8">
        <f t="shared" si="1"/>
        <v>0.66000000000000025</v>
      </c>
      <c r="B44" s="2">
        <f t="shared" si="2"/>
        <v>2.6799999999999988</v>
      </c>
      <c r="C44" s="3">
        <f t="shared" si="3"/>
        <v>1.7687999999999999</v>
      </c>
      <c r="D44" s="3">
        <f t="shared" si="4"/>
        <v>1</v>
      </c>
      <c r="E44" s="4">
        <f t="shared" si="5"/>
        <v>2.329999999999993</v>
      </c>
      <c r="F44" s="3">
        <f t="shared" si="6"/>
        <v>2.329999999999993</v>
      </c>
      <c r="G44" s="5">
        <f t="shared" si="0"/>
        <v>75.91416309012898</v>
      </c>
    </row>
    <row r="45" spans="1:7">
      <c r="A45" s="8">
        <f t="shared" si="1"/>
        <v>0.68000000000000027</v>
      </c>
      <c r="B45" s="2">
        <f t="shared" si="2"/>
        <v>2.6399999999999988</v>
      </c>
      <c r="C45" s="3">
        <f t="shared" si="3"/>
        <v>1.7951999999999999</v>
      </c>
      <c r="D45" s="3">
        <f t="shared" si="4"/>
        <v>1</v>
      </c>
      <c r="E45" s="4">
        <f t="shared" si="5"/>
        <v>2.3399999999999928</v>
      </c>
      <c r="F45" s="3">
        <f t="shared" si="6"/>
        <v>2.3399999999999928</v>
      </c>
      <c r="G45" s="5">
        <f t="shared" si="0"/>
        <v>76.717948717948943</v>
      </c>
    </row>
    <row r="46" spans="1:7">
      <c r="A46" s="8">
        <f t="shared" si="1"/>
        <v>0.70000000000000029</v>
      </c>
      <c r="B46" s="2">
        <f t="shared" si="2"/>
        <v>2.5999999999999988</v>
      </c>
      <c r="C46" s="3">
        <f t="shared" si="3"/>
        <v>1.8199999999999998</v>
      </c>
      <c r="D46" s="3">
        <f t="shared" si="4"/>
        <v>1</v>
      </c>
      <c r="E46" s="4">
        <f t="shared" si="5"/>
        <v>2.3499999999999925</v>
      </c>
      <c r="F46" s="3">
        <f t="shared" si="6"/>
        <v>2.3499999999999925</v>
      </c>
      <c r="G46" s="5">
        <f t="shared" si="0"/>
        <v>77.446808510638533</v>
      </c>
    </row>
    <row r="47" spans="1:7">
      <c r="A47" s="8">
        <f t="shared" si="1"/>
        <v>0.72000000000000031</v>
      </c>
      <c r="B47" s="2">
        <f t="shared" si="2"/>
        <v>2.5599999999999987</v>
      </c>
      <c r="C47" s="3">
        <f t="shared" si="3"/>
        <v>1.8431999999999999</v>
      </c>
      <c r="D47" s="3">
        <f t="shared" si="4"/>
        <v>1</v>
      </c>
      <c r="E47" s="4">
        <f t="shared" si="5"/>
        <v>2.3599999999999923</v>
      </c>
      <c r="F47" s="3">
        <f t="shared" si="6"/>
        <v>2.3599999999999923</v>
      </c>
      <c r="G47" s="5">
        <f t="shared" si="0"/>
        <v>78.101694915254498</v>
      </c>
    </row>
    <row r="48" spans="1:7">
      <c r="A48" s="8">
        <f t="shared" si="1"/>
        <v>0.74000000000000032</v>
      </c>
      <c r="B48" s="2">
        <f t="shared" si="2"/>
        <v>2.5199999999999987</v>
      </c>
      <c r="C48" s="3">
        <f t="shared" si="3"/>
        <v>1.8647999999999998</v>
      </c>
      <c r="D48" s="3">
        <f t="shared" si="4"/>
        <v>1</v>
      </c>
      <c r="E48" s="4">
        <f t="shared" si="5"/>
        <v>2.3699999999999921</v>
      </c>
      <c r="F48" s="3">
        <f t="shared" si="6"/>
        <v>2.3699999999999921</v>
      </c>
      <c r="G48" s="5">
        <f t="shared" si="0"/>
        <v>78.683544303797731</v>
      </c>
    </row>
    <row r="49" spans="1:7">
      <c r="A49" s="8">
        <f t="shared" si="1"/>
        <v>0.76000000000000034</v>
      </c>
      <c r="B49" s="2">
        <f t="shared" si="2"/>
        <v>2.4799999999999986</v>
      </c>
      <c r="C49" s="3">
        <f t="shared" si="3"/>
        <v>1.8847999999999998</v>
      </c>
      <c r="D49" s="3">
        <f t="shared" si="4"/>
        <v>1</v>
      </c>
      <c r="E49" s="4">
        <f t="shared" si="5"/>
        <v>2.3799999999999919</v>
      </c>
      <c r="F49" s="3">
        <f t="shared" si="6"/>
        <v>2.3799999999999919</v>
      </c>
      <c r="G49" s="5">
        <f t="shared" si="0"/>
        <v>79.193277310924628</v>
      </c>
    </row>
    <row r="50" spans="1:7">
      <c r="A50" s="8">
        <f t="shared" si="1"/>
        <v>0.78000000000000036</v>
      </c>
      <c r="B50" s="2">
        <f t="shared" si="2"/>
        <v>2.4399999999999986</v>
      </c>
      <c r="C50" s="3">
        <f t="shared" si="3"/>
        <v>1.9031999999999998</v>
      </c>
      <c r="D50" s="3">
        <f t="shared" si="4"/>
        <v>1</v>
      </c>
      <c r="E50" s="4">
        <f t="shared" si="5"/>
        <v>2.3899999999999917</v>
      </c>
      <c r="F50" s="3">
        <f t="shared" si="6"/>
        <v>2.3899999999999917</v>
      </c>
      <c r="G50" s="5">
        <f t="shared" si="0"/>
        <v>79.63179916318019</v>
      </c>
    </row>
    <row r="51" spans="1:7">
      <c r="A51" s="8">
        <f t="shared" si="1"/>
        <v>0.80000000000000038</v>
      </c>
      <c r="B51" s="2">
        <f t="shared" si="2"/>
        <v>2.3999999999999986</v>
      </c>
      <c r="C51" s="3">
        <f t="shared" si="3"/>
        <v>1.9199999999999997</v>
      </c>
      <c r="D51" s="3">
        <f t="shared" si="4"/>
        <v>1</v>
      </c>
      <c r="E51" s="4">
        <f t="shared" si="5"/>
        <v>2.3999999999999915</v>
      </c>
      <c r="F51" s="3">
        <f t="shared" si="6"/>
        <v>2.3999999999999915</v>
      </c>
      <c r="G51" s="5">
        <f t="shared" si="0"/>
        <v>80.00000000000027</v>
      </c>
    </row>
    <row r="52" spans="1:7">
      <c r="A52" s="8">
        <f t="shared" si="1"/>
        <v>0.8200000000000004</v>
      </c>
      <c r="B52" s="2">
        <f t="shared" si="2"/>
        <v>2.3599999999999985</v>
      </c>
      <c r="C52" s="3">
        <f t="shared" si="3"/>
        <v>1.9351999999999998</v>
      </c>
      <c r="D52" s="3">
        <f t="shared" si="4"/>
        <v>1</v>
      </c>
      <c r="E52" s="4">
        <f t="shared" si="5"/>
        <v>2.4099999999999913</v>
      </c>
      <c r="F52" s="3">
        <f t="shared" si="6"/>
        <v>2.4099999999999913</v>
      </c>
      <c r="G52" s="5">
        <f t="shared" si="0"/>
        <v>80.298755186722275</v>
      </c>
    </row>
    <row r="53" spans="1:7">
      <c r="A53" s="8">
        <f t="shared" si="1"/>
        <v>0.84000000000000041</v>
      </c>
      <c r="B53" s="2">
        <f t="shared" si="2"/>
        <v>2.3199999999999985</v>
      </c>
      <c r="C53" s="3">
        <f t="shared" si="3"/>
        <v>1.9487999999999996</v>
      </c>
      <c r="D53" s="3">
        <f t="shared" si="4"/>
        <v>1</v>
      </c>
      <c r="E53" s="4">
        <f t="shared" si="5"/>
        <v>2.419999999999991</v>
      </c>
      <c r="F53" s="3">
        <f t="shared" si="6"/>
        <v>2.419999999999991</v>
      </c>
      <c r="G53" s="5">
        <f t="shared" si="0"/>
        <v>80.528925619834993</v>
      </c>
    </row>
    <row r="54" spans="1:7">
      <c r="A54" s="8">
        <f t="shared" si="1"/>
        <v>0.86000000000000043</v>
      </c>
      <c r="B54" s="2">
        <f t="shared" si="2"/>
        <v>2.2799999999999985</v>
      </c>
      <c r="C54" s="3">
        <f t="shared" si="3"/>
        <v>1.9607999999999997</v>
      </c>
      <c r="D54" s="3">
        <f t="shared" si="4"/>
        <v>1</v>
      </c>
      <c r="E54" s="4">
        <f t="shared" si="5"/>
        <v>2.4299999999999908</v>
      </c>
      <c r="F54" s="3">
        <f t="shared" si="6"/>
        <v>2.4299999999999908</v>
      </c>
      <c r="G54" s="5">
        <f t="shared" si="0"/>
        <v>80.691358024691652</v>
      </c>
    </row>
    <row r="55" spans="1:7">
      <c r="A55" s="8">
        <f t="shared" si="1"/>
        <v>0.88000000000000045</v>
      </c>
      <c r="B55" s="2">
        <f t="shared" si="2"/>
        <v>2.2399999999999984</v>
      </c>
      <c r="C55" s="3">
        <f t="shared" si="3"/>
        <v>1.9711999999999996</v>
      </c>
      <c r="D55" s="3">
        <f t="shared" si="4"/>
        <v>1</v>
      </c>
      <c r="E55" s="4">
        <f t="shared" si="5"/>
        <v>2.4399999999999906</v>
      </c>
      <c r="F55" s="3">
        <f t="shared" si="6"/>
        <v>2.4399999999999906</v>
      </c>
      <c r="G55" s="5">
        <f t="shared" si="0"/>
        <v>80.786885245901928</v>
      </c>
    </row>
    <row r="56" spans="1:7">
      <c r="A56" s="8">
        <f t="shared" si="1"/>
        <v>0.90000000000000047</v>
      </c>
      <c r="B56" s="2">
        <f t="shared" si="2"/>
        <v>2.1999999999999984</v>
      </c>
      <c r="C56" s="3">
        <f t="shared" si="3"/>
        <v>1.9799999999999995</v>
      </c>
      <c r="D56" s="3">
        <f t="shared" si="4"/>
        <v>1</v>
      </c>
      <c r="E56" s="4">
        <f t="shared" si="5"/>
        <v>2.4499999999999904</v>
      </c>
      <c r="F56" s="3">
        <f t="shared" si="6"/>
        <v>2.4499999999999904</v>
      </c>
      <c r="G56" s="5">
        <f t="shared" si="0"/>
        <v>80.816326530612542</v>
      </c>
    </row>
    <row r="57" spans="1:7">
      <c r="A57" s="8">
        <f t="shared" si="1"/>
        <v>0.92000000000000048</v>
      </c>
      <c r="B57" s="2">
        <f t="shared" si="2"/>
        <v>2.1599999999999984</v>
      </c>
      <c r="C57" s="3">
        <f t="shared" si="3"/>
        <v>1.9871999999999996</v>
      </c>
      <c r="D57" s="3">
        <f t="shared" si="4"/>
        <v>1</v>
      </c>
      <c r="E57" s="4">
        <f t="shared" si="5"/>
        <v>2.4599999999999902</v>
      </c>
      <c r="F57" s="3">
        <f t="shared" si="6"/>
        <v>2.4599999999999902</v>
      </c>
      <c r="G57" s="5">
        <f t="shared" si="0"/>
        <v>80.780487804878348</v>
      </c>
    </row>
    <row r="58" spans="1:7">
      <c r="A58" s="8">
        <f t="shared" si="1"/>
        <v>0.9400000000000005</v>
      </c>
      <c r="B58" s="2">
        <f t="shared" si="2"/>
        <v>2.1199999999999983</v>
      </c>
      <c r="C58" s="3">
        <f t="shared" si="3"/>
        <v>1.9927999999999995</v>
      </c>
      <c r="D58" s="3">
        <f t="shared" si="4"/>
        <v>1</v>
      </c>
      <c r="E58" s="4">
        <f t="shared" si="5"/>
        <v>2.46999999999999</v>
      </c>
      <c r="F58" s="3">
        <f t="shared" si="6"/>
        <v>2.46999999999999</v>
      </c>
      <c r="G58" s="5">
        <f t="shared" si="0"/>
        <v>80.680161943320144</v>
      </c>
    </row>
    <row r="59" spans="1:7">
      <c r="A59" s="8">
        <f t="shared" si="1"/>
        <v>0.96000000000000052</v>
      </c>
      <c r="B59" s="2">
        <f t="shared" si="2"/>
        <v>2.0799999999999983</v>
      </c>
      <c r="C59" s="3">
        <f t="shared" si="3"/>
        <v>1.9967999999999995</v>
      </c>
      <c r="D59" s="3">
        <f t="shared" si="4"/>
        <v>1</v>
      </c>
      <c r="E59" s="4">
        <f t="shared" si="5"/>
        <v>2.4799999999999898</v>
      </c>
      <c r="F59" s="3">
        <f t="shared" si="6"/>
        <v>2.4799999999999898</v>
      </c>
      <c r="G59" s="5">
        <f t="shared" si="0"/>
        <v>80.516129032258377</v>
      </c>
    </row>
    <row r="60" spans="1:7">
      <c r="A60" s="8">
        <f t="shared" si="1"/>
        <v>0.98000000000000054</v>
      </c>
      <c r="B60" s="2">
        <f t="shared" si="2"/>
        <v>2.0399999999999983</v>
      </c>
      <c r="C60" s="3">
        <f t="shared" si="3"/>
        <v>1.9991999999999994</v>
      </c>
      <c r="D60" s="3">
        <f t="shared" si="4"/>
        <v>1</v>
      </c>
      <c r="E60" s="4">
        <f t="shared" si="5"/>
        <v>2.4899999999999896</v>
      </c>
      <c r="F60" s="3">
        <f t="shared" si="6"/>
        <v>2.4899999999999896</v>
      </c>
      <c r="G60" s="5">
        <f t="shared" si="0"/>
        <v>80.28915662650634</v>
      </c>
    </row>
    <row r="61" spans="1:7">
      <c r="A61" s="8">
        <f t="shared" si="1"/>
        <v>1.0000000000000004</v>
      </c>
      <c r="B61" s="2">
        <f t="shared" si="2"/>
        <v>1.9999999999999982</v>
      </c>
      <c r="C61" s="3">
        <f t="shared" si="3"/>
        <v>1.9999999999999991</v>
      </c>
      <c r="D61" s="3">
        <f t="shared" si="4"/>
        <v>1</v>
      </c>
      <c r="E61" s="4">
        <f t="shared" si="5"/>
        <v>2.4999999999999893</v>
      </c>
      <c r="F61" s="3">
        <f t="shared" si="6"/>
        <v>2.4999999999999893</v>
      </c>
      <c r="G61" s="5">
        <f t="shared" si="0"/>
        <v>80.000000000000298</v>
      </c>
    </row>
    <row r="62" spans="1:7">
      <c r="A62" s="8">
        <f t="shared" si="1"/>
        <v>1.0200000000000005</v>
      </c>
      <c r="B62" s="2">
        <f t="shared" si="2"/>
        <v>1.9599999999999982</v>
      </c>
      <c r="C62" s="3">
        <f t="shared" si="3"/>
        <v>1.999199999999999</v>
      </c>
      <c r="D62" s="3">
        <f t="shared" si="4"/>
        <v>1</v>
      </c>
      <c r="E62" s="4">
        <f t="shared" si="5"/>
        <v>2.5099999999999891</v>
      </c>
      <c r="F62" s="3">
        <f t="shared" si="6"/>
        <v>2.5099999999999891</v>
      </c>
      <c r="G62" s="5">
        <f t="shared" si="0"/>
        <v>79.649402390438553</v>
      </c>
    </row>
    <row r="63" spans="1:7">
      <c r="A63" s="8">
        <f t="shared" si="1"/>
        <v>1.0400000000000005</v>
      </c>
      <c r="B63" s="2">
        <f t="shared" si="2"/>
        <v>1.9199999999999982</v>
      </c>
      <c r="C63" s="3">
        <f t="shared" si="3"/>
        <v>1.996799999999999</v>
      </c>
      <c r="D63" s="3">
        <f t="shared" si="4"/>
        <v>1</v>
      </c>
      <c r="E63" s="4">
        <f t="shared" si="5"/>
        <v>2.5199999999999889</v>
      </c>
      <c r="F63" s="3">
        <f t="shared" si="6"/>
        <v>2.5199999999999889</v>
      </c>
      <c r="G63" s="5">
        <f t="shared" si="0"/>
        <v>79.238095238095553</v>
      </c>
    </row>
    <row r="64" spans="1:7">
      <c r="A64" s="8">
        <f t="shared" si="1"/>
        <v>1.0600000000000005</v>
      </c>
      <c r="B64" s="2">
        <f t="shared" si="2"/>
        <v>1.8799999999999981</v>
      </c>
      <c r="C64" s="3">
        <f t="shared" si="3"/>
        <v>1.992799999999999</v>
      </c>
      <c r="D64" s="3">
        <f t="shared" si="4"/>
        <v>1</v>
      </c>
      <c r="E64" s="4">
        <f t="shared" si="5"/>
        <v>2.5299999999999887</v>
      </c>
      <c r="F64" s="3">
        <f t="shared" si="6"/>
        <v>2.5299999999999887</v>
      </c>
      <c r="G64" s="5">
        <f t="shared" si="0"/>
        <v>78.766798418972655</v>
      </c>
    </row>
    <row r="65" spans="1:7">
      <c r="A65" s="8">
        <f t="shared" si="1"/>
        <v>1.0800000000000005</v>
      </c>
      <c r="B65" s="2">
        <f t="shared" si="2"/>
        <v>1.8399999999999981</v>
      </c>
      <c r="C65" s="3">
        <f t="shared" si="3"/>
        <v>1.987199999999999</v>
      </c>
      <c r="D65" s="3">
        <f t="shared" si="4"/>
        <v>1</v>
      </c>
      <c r="E65" s="4">
        <f t="shared" si="5"/>
        <v>2.5399999999999885</v>
      </c>
      <c r="F65" s="3">
        <f t="shared" si="6"/>
        <v>2.5399999999999885</v>
      </c>
      <c r="G65" s="5">
        <f t="shared" si="0"/>
        <v>78.236220472441261</v>
      </c>
    </row>
    <row r="66" spans="1:7">
      <c r="A66" s="8">
        <f t="shared" si="1"/>
        <v>1.1000000000000005</v>
      </c>
      <c r="B66" s="2">
        <f t="shared" si="2"/>
        <v>1.799999999999998</v>
      </c>
      <c r="C66" s="3">
        <f t="shared" si="3"/>
        <v>1.9799999999999989</v>
      </c>
      <c r="D66" s="3">
        <f t="shared" si="4"/>
        <v>1</v>
      </c>
      <c r="E66" s="4">
        <f t="shared" si="5"/>
        <v>2.5499999999999883</v>
      </c>
      <c r="F66" s="3">
        <f t="shared" si="6"/>
        <v>2.5499999999999883</v>
      </c>
      <c r="G66" s="5">
        <f t="shared" si="0"/>
        <v>77.647058823529719</v>
      </c>
    </row>
    <row r="67" spans="1:7">
      <c r="A67" s="8">
        <f t="shared" si="1"/>
        <v>1.1200000000000006</v>
      </c>
      <c r="B67" s="2">
        <f t="shared" si="2"/>
        <v>1.759999999999998</v>
      </c>
      <c r="C67" s="3">
        <f t="shared" si="3"/>
        <v>1.9711999999999987</v>
      </c>
      <c r="D67" s="3">
        <f t="shared" si="4"/>
        <v>1</v>
      </c>
      <c r="E67" s="4">
        <f t="shared" si="5"/>
        <v>2.5599999999999881</v>
      </c>
      <c r="F67" s="3">
        <f t="shared" si="6"/>
        <v>2.5599999999999881</v>
      </c>
      <c r="G67" s="5">
        <f t="shared" si="0"/>
        <v>77.000000000000313</v>
      </c>
    </row>
    <row r="68" spans="1:7">
      <c r="A68" s="8">
        <f t="shared" si="1"/>
        <v>1.1400000000000006</v>
      </c>
      <c r="B68" s="2">
        <f t="shared" si="2"/>
        <v>1.719999999999998</v>
      </c>
      <c r="C68" s="3">
        <f t="shared" si="3"/>
        <v>1.9607999999999988</v>
      </c>
      <c r="D68" s="3">
        <f t="shared" si="4"/>
        <v>1</v>
      </c>
      <c r="E68" s="4">
        <f t="shared" si="5"/>
        <v>2.5699999999999878</v>
      </c>
      <c r="F68" s="3">
        <f t="shared" si="6"/>
        <v>2.5699999999999878</v>
      </c>
      <c r="G68" s="5">
        <f t="shared" si="0"/>
        <v>76.295719844358288</v>
      </c>
    </row>
    <row r="69" spans="1:7">
      <c r="A69" s="8">
        <f t="shared" si="1"/>
        <v>1.1600000000000006</v>
      </c>
      <c r="B69" s="2">
        <f t="shared" si="2"/>
        <v>1.6799999999999979</v>
      </c>
      <c r="C69" s="3">
        <f t="shared" si="3"/>
        <v>1.9487999999999985</v>
      </c>
      <c r="D69" s="3">
        <f t="shared" si="4"/>
        <v>1</v>
      </c>
      <c r="E69" s="4">
        <f t="shared" si="5"/>
        <v>2.5799999999999876</v>
      </c>
      <c r="F69" s="3">
        <f t="shared" si="6"/>
        <v>2.5799999999999876</v>
      </c>
      <c r="G69" s="5">
        <f t="shared" si="0"/>
        <v>75.534883720930537</v>
      </c>
    </row>
    <row r="70" spans="1:7">
      <c r="A70" s="8">
        <f t="shared" si="1"/>
        <v>1.1800000000000006</v>
      </c>
      <c r="B70" s="2">
        <f t="shared" si="2"/>
        <v>1.6399999999999979</v>
      </c>
      <c r="C70" s="3">
        <f t="shared" si="3"/>
        <v>1.9351999999999985</v>
      </c>
      <c r="D70" s="3">
        <f t="shared" si="4"/>
        <v>1</v>
      </c>
      <c r="E70" s="4">
        <f t="shared" si="5"/>
        <v>2.5899999999999874</v>
      </c>
      <c r="F70" s="3">
        <f t="shared" si="6"/>
        <v>2.5899999999999874</v>
      </c>
      <c r="G70" s="5">
        <f t="shared" si="0"/>
        <v>74.718146718147025</v>
      </c>
    </row>
    <row r="71" spans="1:7">
      <c r="A71" s="8">
        <f t="shared" si="1"/>
        <v>1.2000000000000006</v>
      </c>
      <c r="B71" s="2">
        <f t="shared" si="2"/>
        <v>1.5999999999999979</v>
      </c>
      <c r="C71" s="3">
        <f t="shared" si="3"/>
        <v>1.9199999999999984</v>
      </c>
      <c r="D71" s="3">
        <f t="shared" si="4"/>
        <v>1</v>
      </c>
      <c r="E71" s="4">
        <f t="shared" si="5"/>
        <v>2.5999999999999872</v>
      </c>
      <c r="F71" s="3">
        <f t="shared" si="6"/>
        <v>2.5999999999999872</v>
      </c>
      <c r="G71" s="5">
        <f t="shared" si="0"/>
        <v>73.846153846154152</v>
      </c>
    </row>
    <row r="72" spans="1:7">
      <c r="A72" s="8">
        <f t="shared" si="1"/>
        <v>1.2200000000000006</v>
      </c>
      <c r="B72" s="2">
        <f t="shared" si="2"/>
        <v>1.5599999999999978</v>
      </c>
      <c r="C72" s="3">
        <f t="shared" si="3"/>
        <v>1.9031999999999984</v>
      </c>
      <c r="D72" s="3">
        <f t="shared" si="4"/>
        <v>1</v>
      </c>
      <c r="E72" s="4">
        <f t="shared" si="5"/>
        <v>2.609999999999987</v>
      </c>
      <c r="F72" s="3">
        <f t="shared" si="6"/>
        <v>2.609999999999987</v>
      </c>
      <c r="G72" s="5">
        <f t="shared" si="0"/>
        <v>72.919540229885357</v>
      </c>
    </row>
    <row r="73" spans="1:7">
      <c r="A73" s="8">
        <f t="shared" si="1"/>
        <v>1.2400000000000007</v>
      </c>
      <c r="B73" s="2">
        <f t="shared" si="2"/>
        <v>1.5199999999999978</v>
      </c>
      <c r="C73" s="3">
        <f t="shared" si="3"/>
        <v>1.8847999999999983</v>
      </c>
      <c r="D73" s="3">
        <f t="shared" si="4"/>
        <v>1</v>
      </c>
      <c r="E73" s="4">
        <f t="shared" si="5"/>
        <v>2.6199999999999868</v>
      </c>
      <c r="F73" s="3">
        <f t="shared" si="6"/>
        <v>2.6199999999999868</v>
      </c>
      <c r="G73" s="5">
        <f t="shared" si="0"/>
        <v>71.938931297710212</v>
      </c>
    </row>
    <row r="74" spans="1:7">
      <c r="A74" s="8">
        <f t="shared" si="1"/>
        <v>1.2600000000000007</v>
      </c>
      <c r="B74" s="2">
        <f t="shared" si="2"/>
        <v>1.4799999999999978</v>
      </c>
      <c r="C74" s="3">
        <f t="shared" si="3"/>
        <v>1.8647999999999982</v>
      </c>
      <c r="D74" s="3">
        <f t="shared" si="4"/>
        <v>1</v>
      </c>
      <c r="E74" s="4">
        <f t="shared" si="5"/>
        <v>2.6299999999999866</v>
      </c>
      <c r="F74" s="3">
        <f t="shared" si="6"/>
        <v>2.6299999999999866</v>
      </c>
      <c r="G74" s="5">
        <f t="shared" si="0"/>
        <v>70.904942965779753</v>
      </c>
    </row>
    <row r="75" spans="1:7">
      <c r="A75" s="8">
        <f t="shared" si="1"/>
        <v>1.2800000000000007</v>
      </c>
      <c r="B75" s="2">
        <f t="shared" si="2"/>
        <v>1.4399999999999977</v>
      </c>
      <c r="C75" s="3">
        <f t="shared" si="3"/>
        <v>1.8431999999999982</v>
      </c>
      <c r="D75" s="3">
        <f t="shared" si="4"/>
        <v>1</v>
      </c>
      <c r="E75" s="4">
        <f t="shared" si="5"/>
        <v>2.6399999999999864</v>
      </c>
      <c r="F75" s="3">
        <f t="shared" si="6"/>
        <v>2.6399999999999864</v>
      </c>
      <c r="G75" s="5">
        <f t="shared" si="0"/>
        <v>69.818181818182111</v>
      </c>
    </row>
    <row r="76" spans="1:7">
      <c r="A76" s="8">
        <f t="shared" si="1"/>
        <v>1.3000000000000007</v>
      </c>
      <c r="B76" s="2">
        <f t="shared" si="2"/>
        <v>1.3999999999999977</v>
      </c>
      <c r="C76" s="3">
        <f t="shared" si="3"/>
        <v>1.8199999999999981</v>
      </c>
      <c r="D76" s="3">
        <f t="shared" si="4"/>
        <v>1</v>
      </c>
      <c r="E76" s="4">
        <f t="shared" si="5"/>
        <v>2.6499999999999861</v>
      </c>
      <c r="F76" s="3">
        <f t="shared" si="6"/>
        <v>2.6499999999999861</v>
      </c>
      <c r="G76" s="5">
        <f t="shared" ref="G76:G111" si="7">C76/F76*100</f>
        <v>68.679245283019156</v>
      </c>
    </row>
    <row r="77" spans="1:7">
      <c r="A77" s="8">
        <f t="shared" ref="A77:A103" si="8">A76+B$8/100</f>
        <v>1.3200000000000007</v>
      </c>
      <c r="B77" s="2">
        <f t="shared" ref="B77:B103" si="9">B76-B$7/100</f>
        <v>1.3599999999999977</v>
      </c>
      <c r="C77" s="3">
        <f t="shared" ref="C77:C103" si="10">B77*A77</f>
        <v>1.7951999999999979</v>
      </c>
      <c r="D77" s="3">
        <f t="shared" ref="D77:D103" si="11">D76</f>
        <v>1</v>
      </c>
      <c r="E77" s="4">
        <f t="shared" ref="E77:E103" si="12">E76+(B$6-B$5)/100</f>
        <v>2.6599999999999859</v>
      </c>
      <c r="F77" s="3">
        <f t="shared" ref="F77:F103" si="13">D77*E77</f>
        <v>2.6599999999999859</v>
      </c>
      <c r="G77" s="5">
        <f t="shared" si="7"/>
        <v>67.488721804511556</v>
      </c>
    </row>
    <row r="78" spans="1:7">
      <c r="A78" s="8">
        <f t="shared" si="8"/>
        <v>1.3400000000000007</v>
      </c>
      <c r="B78" s="2">
        <f t="shared" si="9"/>
        <v>1.3199999999999976</v>
      </c>
      <c r="C78" s="3">
        <f t="shared" si="10"/>
        <v>1.7687999999999977</v>
      </c>
      <c r="D78" s="3">
        <f t="shared" si="11"/>
        <v>1</v>
      </c>
      <c r="E78" s="4">
        <f t="shared" si="12"/>
        <v>2.6699999999999857</v>
      </c>
      <c r="F78" s="3">
        <f t="shared" si="13"/>
        <v>2.6699999999999857</v>
      </c>
      <c r="G78" s="5">
        <f t="shared" si="7"/>
        <v>66.247191011236225</v>
      </c>
    </row>
    <row r="79" spans="1:7">
      <c r="A79" s="8">
        <f t="shared" si="8"/>
        <v>1.3600000000000008</v>
      </c>
      <c r="B79" s="2">
        <f t="shared" si="9"/>
        <v>1.2799999999999976</v>
      </c>
      <c r="C79" s="3">
        <f t="shared" si="10"/>
        <v>1.7407999999999977</v>
      </c>
      <c r="D79" s="3">
        <f t="shared" si="11"/>
        <v>1</v>
      </c>
      <c r="E79" s="4">
        <f t="shared" si="12"/>
        <v>2.6799999999999855</v>
      </c>
      <c r="F79" s="3">
        <f t="shared" si="13"/>
        <v>2.6799999999999855</v>
      </c>
      <c r="G79" s="5">
        <f t="shared" si="7"/>
        <v>64.955223880597273</v>
      </c>
    </row>
    <row r="80" spans="1:7">
      <c r="A80" s="8">
        <f t="shared" si="8"/>
        <v>1.3800000000000008</v>
      </c>
      <c r="B80" s="2">
        <f t="shared" si="9"/>
        <v>1.2399999999999975</v>
      </c>
      <c r="C80" s="3">
        <f t="shared" si="10"/>
        <v>1.7111999999999976</v>
      </c>
      <c r="D80" s="3">
        <f t="shared" si="11"/>
        <v>1</v>
      </c>
      <c r="E80" s="4">
        <f t="shared" si="12"/>
        <v>2.6899999999999853</v>
      </c>
      <c r="F80" s="3">
        <f t="shared" si="13"/>
        <v>2.6899999999999853</v>
      </c>
      <c r="G80" s="5">
        <f t="shared" si="7"/>
        <v>63.613382899628512</v>
      </c>
    </row>
    <row r="81" spans="1:7">
      <c r="A81" s="8">
        <f t="shared" si="8"/>
        <v>1.4000000000000008</v>
      </c>
      <c r="B81" s="2">
        <f t="shared" si="9"/>
        <v>1.1999999999999975</v>
      </c>
      <c r="C81" s="3">
        <f t="shared" si="10"/>
        <v>1.6799999999999975</v>
      </c>
      <c r="D81" s="3">
        <f t="shared" si="11"/>
        <v>1</v>
      </c>
      <c r="E81" s="4">
        <f t="shared" si="12"/>
        <v>2.6999999999999851</v>
      </c>
      <c r="F81" s="3">
        <f t="shared" si="13"/>
        <v>2.6999999999999851</v>
      </c>
      <c r="G81" s="5">
        <f t="shared" si="7"/>
        <v>62.222222222222477</v>
      </c>
    </row>
    <row r="82" spans="1:7">
      <c r="A82" s="8">
        <f t="shared" si="8"/>
        <v>1.4200000000000008</v>
      </c>
      <c r="B82" s="2">
        <f t="shared" si="9"/>
        <v>1.1599999999999975</v>
      </c>
      <c r="C82" s="3">
        <f t="shared" si="10"/>
        <v>1.6471999999999973</v>
      </c>
      <c r="D82" s="3">
        <f t="shared" si="11"/>
        <v>1</v>
      </c>
      <c r="E82" s="4">
        <f t="shared" si="12"/>
        <v>2.7099999999999849</v>
      </c>
      <c r="F82" s="3">
        <f t="shared" si="13"/>
        <v>2.7099999999999849</v>
      </c>
      <c r="G82" s="5">
        <f t="shared" si="7"/>
        <v>60.782287822878466</v>
      </c>
    </row>
    <row r="83" spans="1:7">
      <c r="A83" s="8">
        <f t="shared" si="8"/>
        <v>1.4400000000000008</v>
      </c>
      <c r="B83" s="2">
        <f t="shared" si="9"/>
        <v>1.1199999999999974</v>
      </c>
      <c r="C83" s="3">
        <f t="shared" si="10"/>
        <v>1.6127999999999973</v>
      </c>
      <c r="D83" s="3">
        <f t="shared" si="11"/>
        <v>1</v>
      </c>
      <c r="E83" s="4">
        <f t="shared" si="12"/>
        <v>2.7199999999999847</v>
      </c>
      <c r="F83" s="3">
        <f t="shared" si="13"/>
        <v>2.7199999999999847</v>
      </c>
      <c r="G83" s="5">
        <f t="shared" si="7"/>
        <v>59.294117647059061</v>
      </c>
    </row>
    <row r="84" spans="1:7">
      <c r="A84" s="8">
        <f t="shared" si="8"/>
        <v>1.4600000000000009</v>
      </c>
      <c r="B84" s="2">
        <f t="shared" si="9"/>
        <v>1.0799999999999974</v>
      </c>
      <c r="C84" s="3">
        <f t="shared" si="10"/>
        <v>1.5767999999999971</v>
      </c>
      <c r="D84" s="3">
        <f t="shared" si="11"/>
        <v>1</v>
      </c>
      <c r="E84" s="4">
        <f t="shared" si="12"/>
        <v>2.7299999999999844</v>
      </c>
      <c r="F84" s="3">
        <f t="shared" si="13"/>
        <v>2.7299999999999844</v>
      </c>
      <c r="G84" s="5">
        <f t="shared" si="7"/>
        <v>57.758241758241979</v>
      </c>
    </row>
    <row r="85" spans="1:7">
      <c r="A85" s="8">
        <f t="shared" si="8"/>
        <v>1.4800000000000009</v>
      </c>
      <c r="B85" s="2">
        <f t="shared" si="9"/>
        <v>1.0399999999999974</v>
      </c>
      <c r="C85" s="3">
        <f t="shared" si="10"/>
        <v>1.539199999999997</v>
      </c>
      <c r="D85" s="3">
        <f t="shared" si="11"/>
        <v>1</v>
      </c>
      <c r="E85" s="4">
        <f t="shared" si="12"/>
        <v>2.7399999999999842</v>
      </c>
      <c r="F85" s="3">
        <f t="shared" si="13"/>
        <v>2.7399999999999842</v>
      </c>
      <c r="G85" s="5">
        <f t="shared" si="7"/>
        <v>56.175182481752039</v>
      </c>
    </row>
    <row r="86" spans="1:7">
      <c r="A86" s="8">
        <f t="shared" si="8"/>
        <v>1.5000000000000009</v>
      </c>
      <c r="B86" s="2">
        <f t="shared" si="9"/>
        <v>0.99999999999999734</v>
      </c>
      <c r="C86" s="3">
        <f t="shared" si="10"/>
        <v>1.4999999999999969</v>
      </c>
      <c r="D86" s="3">
        <f t="shared" si="11"/>
        <v>1</v>
      </c>
      <c r="E86" s="4">
        <f t="shared" si="12"/>
        <v>2.749999999999984</v>
      </c>
      <c r="F86" s="3">
        <f t="shared" si="13"/>
        <v>2.749999999999984</v>
      </c>
      <c r="G86" s="5">
        <f t="shared" si="7"/>
        <v>54.545454545454753</v>
      </c>
    </row>
    <row r="87" spans="1:7">
      <c r="A87" s="8">
        <f t="shared" si="8"/>
        <v>1.5200000000000009</v>
      </c>
      <c r="B87" s="2">
        <f t="shared" si="9"/>
        <v>0.9599999999999973</v>
      </c>
      <c r="C87" s="3">
        <f t="shared" si="10"/>
        <v>1.4591999999999967</v>
      </c>
      <c r="D87" s="3">
        <f t="shared" si="11"/>
        <v>1</v>
      </c>
      <c r="E87" s="4">
        <f t="shared" si="12"/>
        <v>2.7599999999999838</v>
      </c>
      <c r="F87" s="3">
        <f t="shared" si="13"/>
        <v>2.7599999999999838</v>
      </c>
      <c r="G87" s="5">
        <f t="shared" si="7"/>
        <v>52.869565217391504</v>
      </c>
    </row>
    <row r="88" spans="1:7">
      <c r="A88" s="8">
        <f t="shared" si="8"/>
        <v>1.5400000000000009</v>
      </c>
      <c r="B88" s="2">
        <f t="shared" si="9"/>
        <v>0.91999999999999726</v>
      </c>
      <c r="C88" s="3">
        <f t="shared" si="10"/>
        <v>1.4167999999999967</v>
      </c>
      <c r="D88" s="3">
        <f t="shared" si="11"/>
        <v>1</v>
      </c>
      <c r="E88" s="4">
        <f t="shared" si="12"/>
        <v>2.7699999999999836</v>
      </c>
      <c r="F88" s="3">
        <f t="shared" si="13"/>
        <v>2.7699999999999836</v>
      </c>
      <c r="G88" s="5">
        <f t="shared" si="7"/>
        <v>51.1480144404334</v>
      </c>
    </row>
    <row r="89" spans="1:7">
      <c r="A89" s="8">
        <f t="shared" si="8"/>
        <v>1.5600000000000009</v>
      </c>
      <c r="B89" s="2">
        <f t="shared" si="9"/>
        <v>0.87999999999999723</v>
      </c>
      <c r="C89" s="3">
        <f t="shared" si="10"/>
        <v>1.3727999999999965</v>
      </c>
      <c r="D89" s="3">
        <f t="shared" si="11"/>
        <v>1</v>
      </c>
      <c r="E89" s="4">
        <f t="shared" si="12"/>
        <v>2.7799999999999834</v>
      </c>
      <c r="F89" s="3">
        <f t="shared" si="13"/>
        <v>2.7799999999999834</v>
      </c>
      <c r="G89" s="5">
        <f t="shared" si="7"/>
        <v>49.381294964028946</v>
      </c>
    </row>
    <row r="90" spans="1:7">
      <c r="A90" s="8">
        <f t="shared" si="8"/>
        <v>1.580000000000001</v>
      </c>
      <c r="B90" s="2">
        <f t="shared" si="9"/>
        <v>0.83999999999999719</v>
      </c>
      <c r="C90" s="3">
        <f t="shared" si="10"/>
        <v>1.3271999999999964</v>
      </c>
      <c r="D90" s="3">
        <f t="shared" si="11"/>
        <v>1</v>
      </c>
      <c r="E90" s="4">
        <f t="shared" si="12"/>
        <v>2.7899999999999832</v>
      </c>
      <c r="F90" s="3">
        <f t="shared" si="13"/>
        <v>2.7899999999999832</v>
      </c>
      <c r="G90" s="5">
        <f t="shared" si="7"/>
        <v>47.569892473118436</v>
      </c>
    </row>
    <row r="91" spans="1:7">
      <c r="A91" s="8">
        <f t="shared" si="8"/>
        <v>1.600000000000001</v>
      </c>
      <c r="B91" s="2">
        <f t="shared" si="9"/>
        <v>0.79999999999999716</v>
      </c>
      <c r="C91" s="3">
        <f t="shared" si="10"/>
        <v>1.2799999999999963</v>
      </c>
      <c r="D91" s="3">
        <f t="shared" si="11"/>
        <v>1</v>
      </c>
      <c r="E91" s="4">
        <f t="shared" si="12"/>
        <v>2.7999999999999829</v>
      </c>
      <c r="F91" s="3">
        <f t="shared" si="13"/>
        <v>2.7999999999999829</v>
      </c>
      <c r="G91" s="5">
        <f t="shared" si="7"/>
        <v>45.714285714285857</v>
      </c>
    </row>
    <row r="92" spans="1:7">
      <c r="A92" s="8">
        <f t="shared" si="8"/>
        <v>1.620000000000001</v>
      </c>
      <c r="B92" s="2">
        <f t="shared" si="9"/>
        <v>0.75999999999999712</v>
      </c>
      <c r="C92" s="3">
        <f t="shared" si="10"/>
        <v>1.2311999999999961</v>
      </c>
      <c r="D92" s="3">
        <f t="shared" si="11"/>
        <v>1</v>
      </c>
      <c r="E92" s="4">
        <f t="shared" si="12"/>
        <v>2.8099999999999827</v>
      </c>
      <c r="F92" s="3">
        <f t="shared" si="13"/>
        <v>2.8099999999999827</v>
      </c>
      <c r="G92" s="5">
        <f t="shared" si="7"/>
        <v>43.81494661921721</v>
      </c>
    </row>
    <row r="93" spans="1:7">
      <c r="A93" s="8">
        <f t="shared" si="8"/>
        <v>1.640000000000001</v>
      </c>
      <c r="B93" s="2">
        <f t="shared" si="9"/>
        <v>0.71999999999999709</v>
      </c>
      <c r="C93" s="3">
        <f t="shared" si="10"/>
        <v>1.1807999999999959</v>
      </c>
      <c r="D93" s="3">
        <f t="shared" si="11"/>
        <v>1</v>
      </c>
      <c r="E93" s="4">
        <f t="shared" si="12"/>
        <v>2.8199999999999825</v>
      </c>
      <c r="F93" s="3">
        <f t="shared" si="13"/>
        <v>2.8199999999999825</v>
      </c>
      <c r="G93" s="5">
        <f t="shared" si="7"/>
        <v>41.87234042553203</v>
      </c>
    </row>
    <row r="94" spans="1:7">
      <c r="A94" s="8">
        <f t="shared" si="8"/>
        <v>1.660000000000001</v>
      </c>
      <c r="B94" s="2">
        <f t="shared" si="9"/>
        <v>0.67999999999999705</v>
      </c>
      <c r="C94" s="3">
        <f t="shared" si="10"/>
        <v>1.1287999999999958</v>
      </c>
      <c r="D94" s="3">
        <f t="shared" si="11"/>
        <v>1</v>
      </c>
      <c r="E94" s="4">
        <f t="shared" si="12"/>
        <v>2.8299999999999823</v>
      </c>
      <c r="F94" s="3">
        <f t="shared" si="13"/>
        <v>2.8299999999999823</v>
      </c>
      <c r="G94" s="5">
        <f t="shared" si="7"/>
        <v>39.886925795053102</v>
      </c>
    </row>
    <row r="95" spans="1:7">
      <c r="A95" s="8">
        <f t="shared" si="8"/>
        <v>1.680000000000001</v>
      </c>
      <c r="B95" s="2">
        <f t="shared" si="9"/>
        <v>0.63999999999999702</v>
      </c>
      <c r="C95" s="3">
        <f t="shared" si="10"/>
        <v>1.0751999999999957</v>
      </c>
      <c r="D95" s="3">
        <f t="shared" si="11"/>
        <v>1</v>
      </c>
      <c r="E95" s="4">
        <f t="shared" si="12"/>
        <v>2.8399999999999821</v>
      </c>
      <c r="F95" s="3">
        <f t="shared" si="13"/>
        <v>2.8399999999999821</v>
      </c>
      <c r="G95" s="5">
        <f t="shared" si="7"/>
        <v>37.859154929577556</v>
      </c>
    </row>
    <row r="96" spans="1:7">
      <c r="A96" s="8">
        <f t="shared" si="8"/>
        <v>1.7000000000000011</v>
      </c>
      <c r="B96" s="2">
        <f t="shared" si="9"/>
        <v>0.59999999999999698</v>
      </c>
      <c r="C96" s="3">
        <f t="shared" si="10"/>
        <v>1.0199999999999956</v>
      </c>
      <c r="D96" s="3">
        <f t="shared" si="11"/>
        <v>1</v>
      </c>
      <c r="E96" s="4">
        <f t="shared" si="12"/>
        <v>2.8499999999999819</v>
      </c>
      <c r="F96" s="3">
        <f t="shared" si="13"/>
        <v>2.8499999999999819</v>
      </c>
      <c r="G96" s="5">
        <f t="shared" si="7"/>
        <v>35.789473684210598</v>
      </c>
    </row>
    <row r="97" spans="1:7">
      <c r="A97" s="8">
        <f t="shared" si="8"/>
        <v>1.7200000000000011</v>
      </c>
      <c r="B97" s="2">
        <f t="shared" si="9"/>
        <v>0.55999999999999694</v>
      </c>
      <c r="C97" s="3">
        <f t="shared" si="10"/>
        <v>0.96319999999999539</v>
      </c>
      <c r="D97" s="3">
        <f t="shared" si="11"/>
        <v>1</v>
      </c>
      <c r="E97" s="4">
        <f t="shared" si="12"/>
        <v>2.8599999999999817</v>
      </c>
      <c r="F97" s="3">
        <f t="shared" si="13"/>
        <v>2.8599999999999817</v>
      </c>
      <c r="G97" s="5">
        <f t="shared" si="7"/>
        <v>33.67832167832173</v>
      </c>
    </row>
    <row r="98" spans="1:7">
      <c r="A98" s="8">
        <f t="shared" si="8"/>
        <v>1.7400000000000011</v>
      </c>
      <c r="B98" s="2">
        <f t="shared" si="9"/>
        <v>0.51999999999999691</v>
      </c>
      <c r="C98" s="3">
        <f t="shared" si="10"/>
        <v>0.90479999999999516</v>
      </c>
      <c r="D98" s="3">
        <f t="shared" si="11"/>
        <v>1</v>
      </c>
      <c r="E98" s="4">
        <f t="shared" si="12"/>
        <v>2.8699999999999815</v>
      </c>
      <c r="F98" s="3">
        <f t="shared" si="13"/>
        <v>2.8699999999999815</v>
      </c>
      <c r="G98" s="5">
        <f t="shared" si="7"/>
        <v>31.526132404181219</v>
      </c>
    </row>
    <row r="99" spans="1:7">
      <c r="A99" s="8">
        <f t="shared" si="8"/>
        <v>1.7600000000000011</v>
      </c>
      <c r="B99" s="2">
        <f t="shared" si="9"/>
        <v>0.47999999999999693</v>
      </c>
      <c r="C99" s="3">
        <f t="shared" si="10"/>
        <v>0.84479999999999511</v>
      </c>
      <c r="D99" s="3">
        <f t="shared" si="11"/>
        <v>1</v>
      </c>
      <c r="E99" s="4">
        <f t="shared" si="12"/>
        <v>2.8799999999999812</v>
      </c>
      <c r="F99" s="3">
        <f t="shared" si="13"/>
        <v>2.8799999999999812</v>
      </c>
      <c r="G99" s="5">
        <f t="shared" si="7"/>
        <v>29.333333333333357</v>
      </c>
    </row>
    <row r="100" spans="1:7">
      <c r="A100" s="8">
        <f t="shared" si="8"/>
        <v>1.7800000000000011</v>
      </c>
      <c r="B100" s="2">
        <f t="shared" si="9"/>
        <v>0.43999999999999695</v>
      </c>
      <c r="C100" s="3">
        <f t="shared" si="10"/>
        <v>0.78319999999999512</v>
      </c>
      <c r="D100" s="3">
        <f t="shared" si="11"/>
        <v>1</v>
      </c>
      <c r="E100" s="4">
        <f t="shared" si="12"/>
        <v>2.889999999999981</v>
      </c>
      <c r="F100" s="3">
        <f t="shared" si="13"/>
        <v>2.889999999999981</v>
      </c>
      <c r="G100" s="5">
        <f t="shared" si="7"/>
        <v>27.100346020761258</v>
      </c>
    </row>
    <row r="101" spans="1:7">
      <c r="A101" s="8">
        <f t="shared" si="8"/>
        <v>1.8000000000000012</v>
      </c>
      <c r="B101" s="2">
        <f t="shared" si="9"/>
        <v>0.39999999999999697</v>
      </c>
      <c r="C101" s="3">
        <f t="shared" si="10"/>
        <v>0.71999999999999498</v>
      </c>
      <c r="D101" s="3">
        <f t="shared" si="11"/>
        <v>1</v>
      </c>
      <c r="E101" s="4">
        <f t="shared" si="12"/>
        <v>2.8999999999999808</v>
      </c>
      <c r="F101" s="3">
        <f t="shared" si="13"/>
        <v>2.8999999999999808</v>
      </c>
      <c r="G101" s="5">
        <f t="shared" si="7"/>
        <v>24.827586206896544</v>
      </c>
    </row>
    <row r="102" spans="1:7">
      <c r="A102" s="8">
        <f t="shared" si="8"/>
        <v>1.8200000000000012</v>
      </c>
      <c r="B102" s="2">
        <f t="shared" si="9"/>
        <v>0.35999999999999699</v>
      </c>
      <c r="C102" s="3">
        <f t="shared" si="10"/>
        <v>0.6551999999999949</v>
      </c>
      <c r="D102" s="3">
        <f t="shared" si="11"/>
        <v>1</v>
      </c>
      <c r="E102" s="4">
        <f t="shared" si="12"/>
        <v>2.9099999999999806</v>
      </c>
      <c r="F102" s="3">
        <f t="shared" si="13"/>
        <v>2.9099999999999806</v>
      </c>
      <c r="G102" s="5">
        <f t="shared" si="7"/>
        <v>22.51546391752575</v>
      </c>
    </row>
    <row r="103" spans="1:7">
      <c r="A103" s="8">
        <f t="shared" si="8"/>
        <v>1.8400000000000012</v>
      </c>
      <c r="B103" s="2">
        <f t="shared" si="9"/>
        <v>0.31999999999999701</v>
      </c>
      <c r="C103" s="3">
        <f t="shared" si="10"/>
        <v>0.58879999999999488</v>
      </c>
      <c r="D103" s="3">
        <f t="shared" si="11"/>
        <v>1</v>
      </c>
      <c r="E103" s="4">
        <f t="shared" si="12"/>
        <v>2.9199999999999804</v>
      </c>
      <c r="F103" s="3">
        <f t="shared" si="13"/>
        <v>2.9199999999999804</v>
      </c>
      <c r="G103" s="5">
        <f t="shared" si="7"/>
        <v>20.164383561643795</v>
      </c>
    </row>
    <row r="104" spans="1:7">
      <c r="A104" s="8">
        <f>A103+B$8/100</f>
        <v>1.8600000000000012</v>
      </c>
      <c r="B104" s="2">
        <f>B103-B$7/100</f>
        <v>0.27999999999999703</v>
      </c>
      <c r="C104" s="3">
        <f>B104*A104</f>
        <v>0.52079999999999482</v>
      </c>
      <c r="D104" s="3">
        <f>D103</f>
        <v>1</v>
      </c>
      <c r="E104" s="4">
        <f>E103+(B$6-B$5)/100</f>
        <v>2.9299999999999802</v>
      </c>
      <c r="F104" s="3">
        <f>D104*E104</f>
        <v>2.9299999999999802</v>
      </c>
      <c r="G104" s="5">
        <f t="shared" si="7"/>
        <v>17.774744027303697</v>
      </c>
    </row>
    <row r="105" spans="1:7">
      <c r="A105" s="8">
        <f>A104+B$8/100</f>
        <v>1.8800000000000012</v>
      </c>
      <c r="B105" s="2">
        <f>B104-B$7/100</f>
        <v>0.23999999999999702</v>
      </c>
      <c r="C105" s="3">
        <f>B105*A105</f>
        <v>0.45119999999999472</v>
      </c>
      <c r="D105" s="3">
        <f>D104</f>
        <v>1</v>
      </c>
      <c r="E105" s="4">
        <f>E104+(B$6-B$5)/100</f>
        <v>2.93999999999998</v>
      </c>
      <c r="F105" s="3">
        <f>D105*E105</f>
        <v>2.93999999999998</v>
      </c>
      <c r="G105" s="5">
        <f t="shared" si="7"/>
        <v>15.346938775510131</v>
      </c>
    </row>
    <row r="106" spans="1:7">
      <c r="A106" s="8">
        <f t="shared" ref="A106:A110" si="14">A105+B$8/100</f>
        <v>1.9000000000000012</v>
      </c>
      <c r="B106" s="2">
        <f t="shared" ref="B106:B110" si="15">B105-B$7/100</f>
        <v>0.19999999999999701</v>
      </c>
      <c r="C106" s="3">
        <f t="shared" ref="C106:C110" si="16">B106*A106</f>
        <v>0.37999999999999456</v>
      </c>
      <c r="D106" s="3">
        <f t="shared" ref="D106:D110" si="17">D105</f>
        <v>1</v>
      </c>
      <c r="E106" s="4">
        <f t="shared" ref="E106:E110" si="18">E105+(B$6-B$5)/100</f>
        <v>2.9499999999999797</v>
      </c>
      <c r="F106" s="3">
        <f t="shared" ref="F106:F110" si="19">D106*E106</f>
        <v>2.9499999999999797</v>
      </c>
      <c r="G106" s="5">
        <f t="shared" si="7"/>
        <v>12.881355932203295</v>
      </c>
    </row>
    <row r="107" spans="1:7">
      <c r="A107" s="8">
        <f t="shared" si="14"/>
        <v>1.9200000000000013</v>
      </c>
      <c r="B107" s="2">
        <f t="shared" si="15"/>
        <v>0.15999999999999701</v>
      </c>
      <c r="C107" s="3">
        <f t="shared" si="16"/>
        <v>0.30719999999999448</v>
      </c>
      <c r="D107" s="3">
        <f t="shared" si="17"/>
        <v>1</v>
      </c>
      <c r="E107" s="4">
        <f t="shared" si="18"/>
        <v>2.9599999999999795</v>
      </c>
      <c r="F107" s="3">
        <f t="shared" si="19"/>
        <v>2.9599999999999795</v>
      </c>
      <c r="G107" s="5">
        <f t="shared" si="7"/>
        <v>10.378378378378263</v>
      </c>
    </row>
    <row r="108" spans="1:7">
      <c r="A108" s="8">
        <f t="shared" si="14"/>
        <v>1.9400000000000013</v>
      </c>
      <c r="B108" s="2">
        <f t="shared" si="15"/>
        <v>0.119999999999997</v>
      </c>
      <c r="C108" s="3">
        <f t="shared" si="16"/>
        <v>0.23279999999999432</v>
      </c>
      <c r="D108" s="3">
        <f t="shared" si="17"/>
        <v>1</v>
      </c>
      <c r="E108" s="4">
        <f t="shared" si="18"/>
        <v>2.9699999999999793</v>
      </c>
      <c r="F108" s="3">
        <f t="shared" si="19"/>
        <v>2.9699999999999793</v>
      </c>
      <c r="G108" s="5">
        <f t="shared" si="7"/>
        <v>7.8383838383837015</v>
      </c>
    </row>
    <row r="109" spans="1:7">
      <c r="A109" s="8">
        <f t="shared" si="14"/>
        <v>1.9600000000000013</v>
      </c>
      <c r="B109" s="2">
        <f t="shared" si="15"/>
        <v>7.999999999999699E-2</v>
      </c>
      <c r="C109" s="3">
        <f t="shared" si="16"/>
        <v>0.15679999999999419</v>
      </c>
      <c r="D109" s="3">
        <f t="shared" si="17"/>
        <v>1</v>
      </c>
      <c r="E109" s="4">
        <f t="shared" si="18"/>
        <v>2.9799999999999791</v>
      </c>
      <c r="F109" s="3">
        <f t="shared" si="19"/>
        <v>2.9799999999999791</v>
      </c>
      <c r="G109" s="5">
        <f t="shared" si="7"/>
        <v>5.2617449664427953</v>
      </c>
    </row>
    <row r="110" spans="1:7">
      <c r="A110" s="8">
        <f t="shared" si="14"/>
        <v>1.9800000000000013</v>
      </c>
      <c r="B110" s="2">
        <f t="shared" si="15"/>
        <v>3.9999999999996989E-2</v>
      </c>
      <c r="C110" s="3">
        <f t="shared" si="16"/>
        <v>7.9199999999994095E-2</v>
      </c>
      <c r="D110" s="3">
        <f t="shared" si="17"/>
        <v>1</v>
      </c>
      <c r="E110" s="4">
        <f t="shared" si="18"/>
        <v>2.9899999999999789</v>
      </c>
      <c r="F110" s="3">
        <f t="shared" si="19"/>
        <v>2.9899999999999789</v>
      </c>
      <c r="G110" s="5">
        <f t="shared" si="7"/>
        <v>2.6488294314379481</v>
      </c>
    </row>
    <row r="111" spans="1:7">
      <c r="A111" s="8">
        <f>A110+B$8/100</f>
        <v>2.0000000000000013</v>
      </c>
      <c r="B111" s="2">
        <f>B110-B$7/100</f>
        <v>-3.0114799542957371E-15</v>
      </c>
      <c r="C111" s="3">
        <f>B111*A111</f>
        <v>-6.0229599085914782E-15</v>
      </c>
      <c r="D111" s="3">
        <f>D110</f>
        <v>1</v>
      </c>
      <c r="E111" s="4">
        <f>E110+(B$6-B$5)/100</f>
        <v>2.9999999999999787</v>
      </c>
      <c r="F111" s="3">
        <f>D111*E111</f>
        <v>2.9999999999999787</v>
      </c>
      <c r="G111" s="5">
        <f t="shared" si="7"/>
        <v>-2.0076533028638403E-13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Brendan Murphy</dc:creator>
  <cp:keywords/>
  <dc:description/>
  <cp:lastModifiedBy>Brendan Murphy</cp:lastModifiedBy>
  <cp:revision/>
  <dcterms:created xsi:type="dcterms:W3CDTF">2023-10-30T14:31:36Z</dcterms:created>
  <dcterms:modified xsi:type="dcterms:W3CDTF">2023-10-30T20:19:18Z</dcterms:modified>
  <cp:category/>
  <cp:contentStatus/>
</cp:coreProperties>
</file>